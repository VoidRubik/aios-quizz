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filterPrivacy="1" autoCompressPictures="0"/>
  <xr:revisionPtr revIDLastSave="0" documentId="13_ncr:1_{B2D0B2E0-992C-BA44-A460-8208322876D9}" xr6:coauthVersionLast="36" xr6:coauthVersionMax="36" xr10:uidLastSave="{00000000-0000-0000-0000-000000000000}"/>
  <bookViews>
    <workbookView xWindow="29780" yWindow="700" windowWidth="36040" windowHeight="20240" activeTab="8" xr2:uid="{00000000-000D-0000-FFFF-FFFF00000000}"/>
  </bookViews>
  <sheets>
    <sheet name="Solitario" sheetId="1" r:id="rId1"/>
    <sheet name="Sensitivo" sheetId="2" r:id="rId2"/>
    <sheet name="Agudo" sheetId="3" r:id="rId3"/>
    <sheet name="Estructurado" sheetId="4" r:id="rId4"/>
    <sheet name="Energético" sheetId="5" r:id="rId5"/>
    <sheet name="Expansivo" sheetId="6" r:id="rId6"/>
    <sheet name="Carismático" sheetId="8" r:id="rId7"/>
    <sheet name="Resumen" sheetId="7" r:id="rId8"/>
    <sheet name="Cartilla Fundamental" sheetId="9" r:id="rId9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" i="7" l="1"/>
  <c r="G34" i="7" l="1"/>
  <c r="G29" i="7"/>
  <c r="G30" i="7"/>
  <c r="G31" i="7"/>
  <c r="G32" i="7"/>
  <c r="G33" i="7"/>
  <c r="H16" i="7"/>
  <c r="G28" i="7"/>
  <c r="G19" i="7"/>
  <c r="G20" i="7"/>
  <c r="G21" i="7"/>
  <c r="G22" i="7"/>
  <c r="G23" i="7"/>
  <c r="G24" i="7"/>
  <c r="G25" i="7"/>
  <c r="G26" i="7"/>
  <c r="G27" i="7"/>
  <c r="G18" i="7"/>
  <c r="E24" i="2"/>
  <c r="D24" i="2"/>
  <c r="D25" i="1"/>
  <c r="D22" i="6" l="1"/>
  <c r="E7" i="7" s="1"/>
  <c r="E22" i="6"/>
  <c r="G7" i="7" s="1"/>
  <c r="F22" i="6"/>
  <c r="I7" i="7" s="1"/>
  <c r="D25" i="5"/>
  <c r="E6" i="7" s="1"/>
  <c r="E3" i="7"/>
  <c r="D25" i="3"/>
  <c r="E4" i="7" s="1"/>
  <c r="D25" i="4"/>
  <c r="E5" i="7" s="1"/>
  <c r="D30" i="8"/>
  <c r="E8" i="7" s="1"/>
  <c r="E2" i="7"/>
  <c r="C7" i="9"/>
  <c r="F30" i="8"/>
  <c r="I8" i="7"/>
  <c r="C30" i="8"/>
  <c r="C8" i="7" s="1"/>
  <c r="C22" i="6"/>
  <c r="C7" i="7"/>
  <c r="F25" i="5"/>
  <c r="I6" i="7"/>
  <c r="C25" i="5"/>
  <c r="C6" i="7"/>
  <c r="F25" i="4"/>
  <c r="I5" i="7"/>
  <c r="C25" i="4"/>
  <c r="C5" i="7" s="1"/>
  <c r="F25" i="3"/>
  <c r="I4" i="7"/>
  <c r="C25" i="3"/>
  <c r="C4" i="7" s="1"/>
  <c r="F24" i="2"/>
  <c r="I3" i="7"/>
  <c r="C24" i="2"/>
  <c r="C3" i="7"/>
  <c r="F25" i="1"/>
  <c r="I2" i="7"/>
  <c r="C25" i="1"/>
  <c r="C2" i="7"/>
  <c r="E30" i="8"/>
  <c r="G8" i="7" s="1"/>
  <c r="E25" i="1"/>
  <c r="G2" i="7"/>
  <c r="E25" i="5"/>
  <c r="G6" i="7"/>
  <c r="E25" i="4"/>
  <c r="G5" i="7" s="1"/>
  <c r="E25" i="3"/>
  <c r="G4" i="7"/>
  <c r="G3" i="7"/>
  <c r="D6" i="7" l="1"/>
  <c r="I9" i="7"/>
  <c r="J7" i="7"/>
  <c r="D5" i="7"/>
  <c r="D2" i="7"/>
  <c r="C9" i="7"/>
  <c r="D4" i="7"/>
  <c r="D8" i="7"/>
  <c r="E9" i="7"/>
  <c r="J4" i="7"/>
  <c r="G9" i="7"/>
  <c r="H5" i="7" s="1"/>
  <c r="F3" i="7" l="1"/>
  <c r="F6" i="7"/>
  <c r="D9" i="7"/>
  <c r="F5" i="7"/>
  <c r="F8" i="7"/>
  <c r="F7" i="7"/>
  <c r="D3" i="7"/>
  <c r="F4" i="7"/>
  <c r="D7" i="7"/>
  <c r="H9" i="7"/>
  <c r="H4" i="7"/>
  <c r="H13" i="7" s="1"/>
  <c r="H6" i="7"/>
  <c r="H2" i="7"/>
  <c r="H8" i="7"/>
  <c r="H7" i="7"/>
  <c r="J9" i="7"/>
  <c r="J5" i="7"/>
  <c r="J2" i="7"/>
  <c r="J6" i="7"/>
  <c r="J8" i="7"/>
  <c r="J3" i="7"/>
  <c r="H3" i="7"/>
  <c r="H14" i="7" l="1"/>
  <c r="F11" i="7"/>
  <c r="F13" i="7"/>
  <c r="E4" i="9" s="1"/>
  <c r="F10" i="7"/>
  <c r="F14" i="7"/>
  <c r="E5" i="9" s="1"/>
  <c r="F9" i="7"/>
</calcChain>
</file>

<file path=xl/sharedStrings.xml><?xml version="1.0" encoding="utf-8"?>
<sst xmlns="http://schemas.openxmlformats.org/spreadsheetml/2006/main" count="613" uniqueCount="232">
  <si>
    <t>Tienen muy poca energía.</t>
  </si>
  <si>
    <t>Son negativos y pesimistas.</t>
  </si>
  <si>
    <t>Carecen del deseo de cambiar algo o de la energía para hacerlo o de ambas.</t>
  </si>
  <si>
    <t>Cuando tienen un objetivo son persistentes. Pueden ser genios.</t>
  </si>
  <si>
    <t>Prácticos, fríos, obsesivos y perfeccionistas.</t>
  </si>
  <si>
    <t>Disfrutan la soledad y el silencio más que ningún otro tipo; pero no son tímidos.</t>
  </si>
  <si>
    <t>Independientes. Observadores.</t>
  </si>
  <si>
    <t>En reuniones tienden a aislarse. Introvertidos. Privados.</t>
  </si>
  <si>
    <t>Son distantes e inexpresivos pero de emociones muy profundas y subterráneas.</t>
  </si>
  <si>
    <t>Saben escuchar, son pacientes.</t>
  </si>
  <si>
    <t>Profesionales de los puntos negros, aunque ellos se consideran “realistas”.</t>
  </si>
  <si>
    <t>Sienten predilección por lugares apartados, fríos y oscuros.</t>
  </si>
  <si>
    <t>Necesitan a quién desobedecer, rechazar o ignorar.</t>
  </si>
  <si>
    <t>Tienen pocos amigos pero muy buenos.</t>
  </si>
  <si>
    <t>Casi no necesitan la aprobación de los demás.</t>
  </si>
  <si>
    <t>Selectivos, sinceros, genuinos y fieles a la causa. Discretos.</t>
  </si>
  <si>
    <t>Son de trato difícil por sus emociones inestables.</t>
  </si>
  <si>
    <t>Son posesivos y avaros. Acumulativos; coleccionan cosas pequeñas.</t>
  </si>
  <si>
    <t>Imaginativos y de temperamento artístico.</t>
  </si>
  <si>
    <t>Tienen raro sentido del humor. Son conservadores.</t>
  </si>
  <si>
    <t>Suelen vestir de colores oscuros u opacos.</t>
  </si>
  <si>
    <t>Son buenos archivistas, bibliotecarios, contadores, financieros, administradores.</t>
  </si>
  <si>
    <t>Rasgos</t>
  </si>
  <si>
    <t>Porcentaje</t>
  </si>
  <si>
    <t>No</t>
  </si>
  <si>
    <t>Niñez</t>
  </si>
  <si>
    <t>Adolescencia</t>
  </si>
  <si>
    <t>Juventud</t>
  </si>
  <si>
    <t>Vejez</t>
  </si>
  <si>
    <t>Confiables con números y libros. Excelentes en ocupaciones que requieran precisión y atención minuciosa.</t>
  </si>
  <si>
    <t>Sensitivo</t>
  </si>
  <si>
    <t>Son el tipo que genera menos energía. Tienen el metabolismo más lento.</t>
  </si>
  <si>
    <t>Son optimistas y positivos.</t>
  </si>
  <si>
    <t>No tienen determinación.</t>
  </si>
  <si>
    <t>Nunca andan solos. Buscan calor y energía en otras personas.</t>
  </si>
  <si>
    <t>Son muy desordenados. Duermen mucho. Son friolentos.</t>
  </si>
  <si>
    <t>No pueden discernir ni decidir. Aceptan todo y a todos.</t>
  </si>
  <si>
    <t>Menosprecian sus propias opiniones.</t>
  </si>
  <si>
    <t>Dan todo sin esperar nada a cambio, más que compañía.</t>
  </si>
  <si>
    <t>Son amantes intuitivos, muy sensibles y sensuales.</t>
  </si>
  <si>
    <t>Gozan intensamente de la naturaleza.</t>
  </si>
  <si>
    <t>Extraordinariamente sensitivos.</t>
  </si>
  <si>
    <t>Tienen buena comunicación con plantas, animales y niños.</t>
  </si>
  <si>
    <t>No son competitivos, no juzgan.</t>
  </si>
  <si>
    <t>Son hogareños. Les gusta dar y recibir masajes.</t>
  </si>
  <si>
    <t>Son muy desprendidos de objetos materiales, personas o situaciones.</t>
  </si>
  <si>
    <t>Armoniosos, gentiles y cálidos.</t>
  </si>
  <si>
    <t>Son pasivos, vegetativos hasta el rasgo de inexistencia.</t>
  </si>
  <si>
    <t>Sedentarios: no suelen cambiar de domicilio ni de trabajo.</t>
  </si>
  <si>
    <t>Buscan la comodidad y moverse poco para ahorrar energía.</t>
  </si>
  <si>
    <t>Sus casas son acogedoras y sus ropas holgadas.</t>
  </si>
  <si>
    <t xml:space="preserve">Buenos artistas y educadores. Enfermeros, trabajadores sociales, decoradores, recepcionistas, diseñadores, fisioterapeutas. </t>
  </si>
  <si>
    <t>Excelentes en ocupaciones que requieran contacto humano de manera reposada y armónica.</t>
  </si>
  <si>
    <t>Tienen exceso de energía, difícil de contener en su cuerpo reducido.</t>
  </si>
  <si>
    <t>Son muy inquietos y rápidos. Actividad de tipo nervioso.</t>
  </si>
  <si>
    <t>Enredados, no dicen las cosas de manera clara y directa.</t>
  </si>
  <si>
    <t>Intrigosos, astutos y manipuladores.</t>
  </si>
  <si>
    <t>Se involucran simultáneamente en muchos proyectos que suelen embrollar.</t>
  </si>
  <si>
    <t>Buscan ser el centro de atención. Son envidiosos y competitivos: siempre quieren ganar.</t>
  </si>
  <si>
    <t>Si se sienten acorralados, se hacen las víctimas. Se justifican, no aceptan sus equivocaciones. </t>
  </si>
  <si>
    <t>Divertidos anfitriones. Efectistas para vestirse.</t>
  </si>
  <si>
    <t>Necesitan la admiración de los otros, más que ninguno. Son desconfiados y mitómanos.</t>
  </si>
  <si>
    <t>No soportan ser ignorados. Tienden a la hipocondría.</t>
  </si>
  <si>
    <t>Pecados menores: cleptomanía.</t>
  </si>
  <si>
    <t>Estrategas laberínticos: practican el terrorismo intelectual y emocional.</t>
  </si>
  <si>
    <t>Tienen gran ingenio verbal y capacidad de persuasión.</t>
  </si>
  <si>
    <t>Caprichudos y paranoicos. Se defienden hasta cuando no los atacan.</t>
  </si>
  <si>
    <t>Tienen una gran capacidad para gozar la vida. Gran sentido del humor.</t>
  </si>
  <si>
    <t>Actúan por interés propio y creen que así son los demás.</t>
  </si>
  <si>
    <t>Muy creativos. Líderes verborreicos: se escuchan cuando hablan.</t>
  </si>
  <si>
    <t>Son vendedores natos. Buenos políticos, comediantes, detectives, fiscalistas, imitadores.</t>
  </si>
  <si>
    <t>Excelentes en ocupaciones que requieran de gran movilidad y dinamismo, de rapidez tanto física como mental.</t>
  </si>
  <si>
    <t xml:space="preserve">Les gusta conocer las reglas para romperlas. </t>
  </si>
  <si>
    <t>Se realizan al encontrar rebajas.</t>
  </si>
  <si>
    <t>Tienen mucha energía pero son pausados, metódicos, tranquilos.</t>
  </si>
  <si>
    <t>Son racionales, moderados y objetivos.</t>
  </si>
  <si>
    <t>Excesivamente lógicos, fríos y estructurados. Didácticos hasta la exasperación.</t>
  </si>
  <si>
    <t>Para ellos no hay nada trivial. Amplia visión.</t>
  </si>
  <si>
    <t>Les gusta acumular datos. Investigan el origen de las cosas.</t>
  </si>
  <si>
    <t>Buscan claridad y síntesis en sus vidas. Les fascinan las estadísticas.</t>
  </si>
  <si>
    <t>Son soberbios, inflexibles y arrogantes.</t>
  </si>
  <si>
    <t>Son rutinarios, monótonos, predecibles.</t>
  </si>
  <si>
    <t>Cuando algo les gusta lo repiten e incorporan a sus vidas.</t>
  </si>
  <si>
    <t>Establecen jerarquías. Clasifican a las personas y a las cosas.</t>
  </si>
  <si>
    <t>Son pedantes. Poco emotivos. Solemnes.</t>
  </si>
  <si>
    <t>Grandes líderes por convencimiento. Extrovertidos y públicos.</t>
  </si>
  <si>
    <t>Les gusta ser libres. Son independientes.</t>
  </si>
  <si>
    <t>Amantes del conocimiento.</t>
  </si>
  <si>
    <t>Consejeros natos. Creen saber lo que es mejor para ti o para todos.</t>
  </si>
  <si>
    <t>Son grandes conciliadores racionales</t>
  </si>
  <si>
    <t>Buenos académicos, científicos, planificadores, escritores, profesores, asesores.</t>
  </si>
  <si>
    <t>Excelentes en ocupaciones que requieran planeación analítica, investigación académica y comunicación estructurada.</t>
  </si>
  <si>
    <t xml:space="preserve">Tienen un gran sentido de la justicia. </t>
  </si>
  <si>
    <t>Son paternalistas, excesivamente responsables. Incluso suelen asumir responsabilidades ajenas.</t>
  </si>
  <si>
    <t>Tienen gran vitalidad. Hiperactivos. Duermen poco.</t>
  </si>
  <si>
    <t>Son competitivos, necios, bruscos en ademanes y palabras.</t>
  </si>
  <si>
    <t>Son grandes hacedores. En cada proyecto se entregan hasta concretarlo.</t>
  </si>
  <si>
    <t>Son líderes impositivos y beligerantes.</t>
  </si>
  <si>
    <t>Constantemente buscan la acción que les permita liberar su enorme energía.</t>
  </si>
  <si>
    <t>Imparten órdenes a diestra y siniestra. Prefieren que los obedezcan a que los amen. </t>
  </si>
  <si>
    <t>Tienen un gran sentido práctico. Buenos estrategas.</t>
  </si>
  <si>
    <t>Creen en aquello que se les puede demostrar. Son tercos y escépticos.</t>
  </si>
  <si>
    <t>Son fácilmente irritables, agresivos y dominantes.</t>
  </si>
  <si>
    <t>Si no encuentran cómo canalizar su energía, se autodestruyen.</t>
  </si>
  <si>
    <t>Son leales, nobles y apasionados. Saben perdonar. Solo tienen amigos o enemigos.</t>
  </si>
  <si>
    <t>Piden y dan verdades directas y brutalmente. Son MUY celosos.</t>
  </si>
  <si>
    <t>Buscan tener retos que vencer. Se fijan metas y van de una en otra.</t>
  </si>
  <si>
    <t>Buscan su libertad y les gustan los espacios abiertos.</t>
  </si>
  <si>
    <t>No planean. Van directo a la acción. Son impulsivos.</t>
  </si>
  <si>
    <t>Las depresiones pueden encadenarlos a vicios.</t>
  </si>
  <si>
    <t>No les gustan las sutilezas. No soportan la traición. Son tímidos.</t>
  </si>
  <si>
    <t>Buenos empresarios, políticos, deportistas, militares, comerciantes, organizadores.</t>
  </si>
  <si>
    <t>Excelentes en ocupaciones que requieran capacidad de mando, visión práctica y resultados inmediatos.</t>
  </si>
  <si>
    <t>Tienen poca energía.</t>
  </si>
  <si>
    <t>Hacen mil cosas y no concretan ninguna, pero gozan todas.</t>
  </si>
  <si>
    <t>Excéntricos, alegres, amigueros, les encantan las fiestas y reuniones.</t>
  </si>
  <si>
    <t>Grandes Gourmets: su fascinación es la comida.</t>
  </si>
  <si>
    <t>Excelentes anfitriones. Maternales. Apapachones.</t>
  </si>
  <si>
    <t>Coleccionan amigos y cosas raras. Sus vestimentas suelen ser estrafalarias.</t>
  </si>
  <si>
    <t>Son los que más sufren con el dolor ajeno.</t>
  </si>
  <si>
    <t>Sus casas son de puertas abiertas. Hospedan a menesterosos.</t>
  </si>
  <si>
    <t>Son populares. Quieren y se dan a querer de inmediato.</t>
  </si>
  <si>
    <t>Requieren de la aceptación de los demás para vivir. No soportan el rechazo.</t>
  </si>
  <si>
    <t>Compasivos, vanidosos, ególatras, inseguros.</t>
  </si>
  <si>
    <t>Castigan con el látigo de su desprecio.</t>
  </si>
  <si>
    <t>Les encanta conciliar afectivamente.</t>
  </si>
  <si>
    <t>Sentimentaloides, manipuladores, prolíficos. Ríen y lloran con facilidad.</t>
  </si>
  <si>
    <t>Tienen aptitud para las lenguas.</t>
  </si>
  <si>
    <t>Grandes chefs, artistas, locutores, médicos, traductores, diplomáticos, magos de las relaciones públicas. </t>
  </si>
  <si>
    <t>Excelentes en ocupaciones que requieran trato social, espíritu de servicio y convivencia entusiasta.</t>
  </si>
  <si>
    <t>Solitario</t>
  </si>
  <si>
    <t>Agudo</t>
  </si>
  <si>
    <t>Estructurado</t>
  </si>
  <si>
    <t>Energético</t>
  </si>
  <si>
    <t>Carismático</t>
  </si>
  <si>
    <t>Expansivo</t>
  </si>
  <si>
    <t>Constituyen el tipo más energético de todo el Heptagrama.</t>
  </si>
  <si>
    <t>Tienen el metabolismo más rápido.</t>
  </si>
  <si>
    <t>Procesan muchísima energía. Es difícil seguirles el paso.</t>
  </si>
  <si>
    <t>Gran magnetismo. Irradian ternura, son muy intensos.</t>
  </si>
  <si>
    <t>Tienen polaridad universal. Extraordinaria energía sexual.</t>
  </si>
  <si>
    <t>Volátil, ligero, eléctrico y veloz.</t>
  </si>
  <si>
    <t>Gesticulan mucho al hablar y danzan al caminar.</t>
  </si>
  <si>
    <t>Carismáticos, creativos, idealistas.</t>
  </si>
  <si>
    <t>Contagian alegría y buen humor.</t>
  </si>
  <si>
    <t>Estimulan los aspectos activos y positivos de los demás tipos.</t>
  </si>
  <si>
    <t>Ingenuos, optimistas irracionales, entusiastas.</t>
  </si>
  <si>
    <t>Suelen no ver el lado oscuro o negativo de las cosas o las personas.</t>
  </si>
  <si>
    <t>Ven el lado positivo en todo. Son muy adaptables.</t>
  </si>
  <si>
    <t>Visionarios. No tienen los pies en la tierra.</t>
  </si>
  <si>
    <t>Dan lo mejor de sí mismos. Son serviciales.</t>
  </si>
  <si>
    <t>Son amigables pero no tienen amigos.</t>
  </si>
  <si>
    <t>Viven la vida con intensidad. Pero su entusiasmo y energía pueden destruirlos.</t>
  </si>
  <si>
    <t>Son como una centella que se fulmina a sí misma.</t>
  </si>
  <si>
    <t>Suelen morir en forma súbita y a temprana edad.</t>
  </si>
  <si>
    <t>No son impositivos ni manipuladores. Su liderazgo es por contagio.</t>
  </si>
  <si>
    <t>Pueden canalizar su energía hacia la sexualidad o el misticismo con idéntica intensidad.</t>
  </si>
  <si>
    <t>Tienen el entusiasmo infantil aunado a ideales trascendentes.</t>
  </si>
  <si>
    <t>Se olvidan de sí mismos. Hay que alimentarlos y vestirlos.</t>
  </si>
  <si>
    <t>Constituyen el elemento agregado en los demás tipos; aquello que los lleva a evolucionar al tipo subsiguiente.</t>
  </si>
  <si>
    <t>Grandes líderes naturales, místicos, show men: cantantes, bailarines, actores, comediantes, comunicadores.</t>
  </si>
  <si>
    <t>Excelentes en ocupaciones que requieran trato con multitudes, comunicación intensa y desparpajada animación.</t>
  </si>
  <si>
    <t>El efecto carismático hace que los tipos pasivos se comporten con la ambición y asertividad de los tipos activos.
 Y a la inversa: dulcifica y enternece a los tipos activos, los vuelve sensibles y delicados.</t>
  </si>
  <si>
    <t>Tipología</t>
  </si>
  <si>
    <t>Norm.</t>
  </si>
  <si>
    <t>50-50</t>
  </si>
  <si>
    <t>55-45</t>
  </si>
  <si>
    <t>60-40</t>
  </si>
  <si>
    <t>65-35</t>
  </si>
  <si>
    <t>70-30</t>
  </si>
  <si>
    <t>75-25</t>
  </si>
  <si>
    <t>80-20</t>
  </si>
  <si>
    <t>85-15</t>
  </si>
  <si>
    <t>90-10</t>
  </si>
  <si>
    <t>95-05</t>
  </si>
  <si>
    <t>Indice de carisma</t>
  </si>
  <si>
    <t>Índice de Carisma</t>
  </si>
  <si>
    <t>Tipo:</t>
  </si>
  <si>
    <t>Activo</t>
  </si>
  <si>
    <t>Polaridad:</t>
  </si>
  <si>
    <t>Glándula maestra:</t>
  </si>
  <si>
    <t>Glándula subsidiaria:</t>
  </si>
  <si>
    <t>Énfasis genético:</t>
  </si>
  <si>
    <t>Emocional</t>
  </si>
  <si>
    <t>Índice de carisma:</t>
  </si>
  <si>
    <t>Si</t>
  </si>
  <si>
    <t>SI</t>
  </si>
  <si>
    <t>Importante</t>
  </si>
  <si>
    <t xml:space="preserve">Eres un agudo de catalogo. </t>
  </si>
  <si>
    <t xml:space="preserve">No se pueden estar quietos porque tienen mucha energia. </t>
  </si>
  <si>
    <t>?????</t>
  </si>
  <si>
    <t>Emocional???</t>
  </si>
  <si>
    <t>Emocional?</t>
  </si>
  <si>
    <r>
      <t xml:space="preserve">Tienen grandes proyectos. Son </t>
    </r>
    <r>
      <rPr>
        <b/>
        <sz val="12"/>
        <color theme="1"/>
        <rFont val="Times New Roman"/>
        <family val="1"/>
      </rPr>
      <t>dispersos</t>
    </r>
    <r>
      <rPr>
        <sz val="12"/>
        <color theme="1"/>
        <rFont val="Times New Roman"/>
        <family val="1"/>
      </rPr>
      <t>.</t>
    </r>
  </si>
  <si>
    <r>
      <t xml:space="preserve">Son </t>
    </r>
    <r>
      <rPr>
        <b/>
        <sz val="12"/>
        <color theme="1"/>
        <rFont val="Times New Roman"/>
        <family val="1"/>
      </rPr>
      <t>dispersos</t>
    </r>
    <r>
      <rPr>
        <sz val="12"/>
        <color theme="1"/>
        <rFont val="Times New Roman"/>
        <family val="1"/>
      </rPr>
      <t>, atolondrados y entusiastas.</t>
    </r>
  </si>
  <si>
    <r>
      <t xml:space="preserve">Son </t>
    </r>
    <r>
      <rPr>
        <b/>
        <sz val="12"/>
        <color theme="1"/>
        <rFont val="Times New Roman"/>
        <family val="1"/>
      </rPr>
      <t>perfeccionistas</t>
    </r>
    <r>
      <rPr>
        <sz val="12"/>
        <color theme="1"/>
        <rFont val="Times New Roman"/>
        <family val="1"/>
      </rPr>
      <t>. Sumamente ordenados.</t>
    </r>
  </si>
  <si>
    <r>
      <rPr>
        <b/>
        <sz val="12"/>
        <color theme="1"/>
        <rFont val="Times New Roman"/>
        <family val="1"/>
      </rPr>
      <t>No concretan</t>
    </r>
    <r>
      <rPr>
        <sz val="12"/>
        <color theme="1"/>
        <rFont val="Times New Roman"/>
        <family val="1"/>
      </rPr>
      <t>. Planean en exceso.</t>
    </r>
  </si>
  <si>
    <r>
      <rPr>
        <b/>
        <sz val="12"/>
        <color theme="1"/>
        <rFont val="Times New Roman"/>
        <family val="1"/>
      </rPr>
      <t>Gran capacidad analítica</t>
    </r>
    <r>
      <rPr>
        <sz val="12"/>
        <color theme="1"/>
        <rFont val="Times New Roman"/>
        <family val="1"/>
      </rPr>
      <t>. Buscan la verdad.</t>
    </r>
  </si>
  <si>
    <r>
      <t xml:space="preserve">Tienen una </t>
    </r>
    <r>
      <rPr>
        <b/>
        <sz val="12"/>
        <color theme="1"/>
        <rFont val="Times New Roman"/>
        <family val="1"/>
      </rPr>
      <t>gran rapidez intelectual</t>
    </r>
    <r>
      <rPr>
        <sz val="12"/>
        <color theme="1"/>
        <rFont val="Times New Roman"/>
        <family val="1"/>
      </rPr>
      <t>. Piensan en zig zag. Son muy agudos.</t>
    </r>
  </si>
  <si>
    <r>
      <t xml:space="preserve">Son buenos para hacer dinero. </t>
    </r>
    <r>
      <rPr>
        <b/>
        <sz val="12"/>
        <color theme="1"/>
        <rFont val="Times New Roman"/>
        <family val="1"/>
      </rPr>
      <t>Emprendedores</t>
    </r>
    <r>
      <rPr>
        <sz val="12"/>
        <color theme="1"/>
        <rFont val="Times New Roman"/>
        <family val="1"/>
      </rPr>
      <t>.</t>
    </r>
  </si>
  <si>
    <r>
      <t xml:space="preserve">La impaciencia los lleva a no saber delegar. </t>
    </r>
    <r>
      <rPr>
        <b/>
        <sz val="12"/>
        <color theme="1"/>
        <rFont val="Times New Roman"/>
        <family val="1"/>
      </rPr>
      <t>Se precipitan.</t>
    </r>
  </si>
  <si>
    <r>
      <rPr>
        <b/>
        <sz val="12"/>
        <color theme="1"/>
        <rFont val="Times New Roman"/>
        <family val="1"/>
      </rPr>
      <t>Todo es URGENTE</t>
    </r>
    <r>
      <rPr>
        <sz val="12"/>
        <color theme="1"/>
        <rFont val="Times New Roman"/>
        <family val="1"/>
      </rPr>
      <t>. Lo que les concierne lo exigen para ayer. </t>
    </r>
  </si>
  <si>
    <t>¿Por qué?</t>
  </si>
  <si>
    <r>
      <rPr>
        <b/>
        <sz val="12"/>
        <color theme="1"/>
        <rFont val="Times New Roman"/>
        <family val="1"/>
      </rPr>
      <t>El peligro los excita. Viven al filo de la navaja</t>
    </r>
    <r>
      <rPr>
        <sz val="12"/>
        <color theme="1"/>
        <rFont val="Times New Roman"/>
        <family val="1"/>
      </rPr>
      <t>. Son rebeldes, no soportan la autoridad.</t>
    </r>
  </si>
  <si>
    <r>
      <t xml:space="preserve">Exagerados. </t>
    </r>
    <r>
      <rPr>
        <b/>
        <sz val="12"/>
        <color theme="1"/>
        <rFont val="Times New Roman"/>
        <family val="1"/>
      </rPr>
      <t>No tienen límites</t>
    </r>
    <r>
      <rPr>
        <sz val="12"/>
        <color theme="1"/>
        <rFont val="Times New Roman"/>
        <family val="1"/>
      </rPr>
      <t>, todo es a lo grande.</t>
    </r>
  </si>
  <si>
    <t>Ejemplos</t>
  </si>
  <si>
    <r>
      <rPr>
        <b/>
        <sz val="12"/>
        <color theme="1"/>
        <rFont val="Times New Roman"/>
        <family val="1"/>
      </rPr>
      <t>Despilfarradores</t>
    </r>
    <r>
      <rPr>
        <sz val="12"/>
        <color theme="1"/>
        <rFont val="Times New Roman"/>
        <family val="1"/>
      </rPr>
      <t>. Muy generosos. Lo dan todo y más.</t>
    </r>
  </si>
  <si>
    <r>
      <rPr>
        <b/>
        <sz val="12"/>
        <color theme="1"/>
        <rFont val="Times New Roman"/>
        <family val="1"/>
      </rPr>
      <t>Optimistas</t>
    </r>
    <r>
      <rPr>
        <sz val="12"/>
        <color theme="1"/>
        <rFont val="Times New Roman"/>
        <family val="1"/>
      </rPr>
      <t>. Se sienten comprometidos a mostrar su felicidad.</t>
    </r>
  </si>
  <si>
    <t>No lo veo</t>
  </si>
  <si>
    <t>Negativo</t>
  </si>
  <si>
    <t>Tiroides</t>
  </si>
  <si>
    <t>Pituitaria anterior</t>
  </si>
  <si>
    <t xml:space="preserve">Dictum de autoafirmación: </t>
  </si>
  <si>
    <t>Anhelo de plenitud de Ser:</t>
  </si>
  <si>
    <t>Pecado capital:</t>
  </si>
  <si>
    <t>Virtud:</t>
  </si>
  <si>
    <t>Susceptibilidad:</t>
  </si>
  <si>
    <t>Rasgo dominante:</t>
  </si>
  <si>
    <t>Profundo: penasmientos, ideas</t>
  </si>
  <si>
    <t>Motriz</t>
  </si>
  <si>
    <t>Racional</t>
  </si>
  <si>
    <t>Enfasis Genético</t>
  </si>
  <si>
    <t>Yo gano</t>
  </si>
  <si>
    <t>Reconocimiento</t>
  </si>
  <si>
    <t>Caridad</t>
  </si>
  <si>
    <t>Envidia</t>
  </si>
  <si>
    <t>Crítica</t>
  </si>
  <si>
    <t>Confusión</t>
  </si>
  <si>
    <t>Trabajo a realizar:</t>
  </si>
  <si>
    <r>
      <rPr>
        <b/>
        <sz val="11"/>
        <color theme="1"/>
        <rFont val="Calibri"/>
        <family val="2"/>
        <scheme val="minor"/>
      </rPr>
      <t>Corrimientos</t>
    </r>
    <r>
      <rPr>
        <sz val="11"/>
        <color theme="1"/>
        <rFont val="Calibri"/>
        <family val="2"/>
        <scheme val="minor"/>
      </rPr>
      <t xml:space="preserve"> a Estructurado,</t>
    </r>
  </si>
  <si>
    <r>
      <rPr>
        <b/>
        <sz val="11"/>
        <color theme="1"/>
        <rFont val="Calibri"/>
        <family val="2"/>
        <scheme val="minor"/>
      </rPr>
      <t>Equilibrio</t>
    </r>
    <r>
      <rPr>
        <sz val="11"/>
        <color theme="1"/>
        <rFont val="Calibri"/>
        <family val="2"/>
        <scheme val="minor"/>
      </rPr>
      <t xml:space="preserve"> con los énfasis genéticos: Motriz y Racional</t>
    </r>
  </si>
  <si>
    <r>
      <rPr>
        <b/>
        <sz val="11"/>
        <color theme="1"/>
        <rFont val="Calibri"/>
        <family val="2"/>
        <scheme val="minor"/>
      </rPr>
      <t>Complementos</t>
    </r>
    <r>
      <rPr>
        <sz val="11"/>
        <color theme="1"/>
        <rFont val="Calibri"/>
        <family val="2"/>
        <scheme val="minor"/>
      </rPr>
      <t xml:space="preserve"> con el resto de tipos del Heptagrama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</si>
</sst>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right"/>
    </xf>
    <xf numFmtId="164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0" fontId="0" fillId="0" borderId="7" xfId="1" applyNumberFormat="1" applyFon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5" borderId="14" xfId="0" applyFont="1" applyFill="1" applyBorder="1"/>
    <xf numFmtId="0" fontId="6" fillId="5" borderId="15" xfId="0" applyFont="1" applyFill="1" applyBorder="1"/>
    <xf numFmtId="0" fontId="6" fillId="5" borderId="16" xfId="0" applyFont="1" applyFill="1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5" fillId="2" borderId="21" xfId="1" applyNumberFormat="1" applyFont="1" applyFill="1" applyBorder="1" applyAlignment="1">
      <alignment horizontal="center" vertical="center"/>
    </xf>
    <xf numFmtId="164" fontId="5" fillId="2" borderId="22" xfId="1" applyNumberFormat="1" applyFont="1" applyFill="1" applyBorder="1" applyAlignment="1">
      <alignment horizontal="center" vertical="center"/>
    </xf>
    <xf numFmtId="164" fontId="5" fillId="2" borderId="23" xfId="1" applyNumberFormat="1" applyFont="1" applyFill="1" applyBorder="1" applyAlignment="1">
      <alignment horizontal="center" vertical="center"/>
    </xf>
    <xf numFmtId="10" fontId="0" fillId="0" borderId="24" xfId="1" applyNumberFormat="1" applyFont="1" applyBorder="1" applyAlignment="1">
      <alignment horizontal="center" vertical="center"/>
    </xf>
    <xf numFmtId="10" fontId="0" fillId="0" borderId="25" xfId="1" applyNumberFormat="1" applyFont="1" applyBorder="1" applyAlignment="1">
      <alignment horizontal="center" vertical="center"/>
    </xf>
    <xf numFmtId="10" fontId="0" fillId="0" borderId="28" xfId="1" applyNumberFormat="1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164" fontId="0" fillId="0" borderId="26" xfId="1" applyNumberFormat="1" applyFont="1" applyBorder="1" applyAlignment="1">
      <alignment horizontal="center" vertical="center"/>
    </xf>
    <xf numFmtId="164" fontId="0" fillId="0" borderId="25" xfId="1" applyNumberFormat="1" applyFont="1" applyBorder="1" applyAlignment="1">
      <alignment horizontal="center" vertical="center"/>
    </xf>
    <xf numFmtId="164" fontId="0" fillId="0" borderId="24" xfId="1" applyNumberFormat="1" applyFont="1" applyBorder="1" applyAlignment="1">
      <alignment horizontal="center" vertical="center"/>
    </xf>
    <xf numFmtId="10" fontId="0" fillId="0" borderId="0" xfId="1" applyNumberFormat="1" applyFont="1" applyFill="1" applyBorder="1" applyAlignment="1">
      <alignment horizontal="center" vertical="center"/>
    </xf>
    <xf numFmtId="0" fontId="0" fillId="0" borderId="0" xfId="0" applyBorder="1"/>
    <xf numFmtId="10" fontId="5" fillId="2" borderId="27" xfId="1" applyNumberFormat="1" applyFont="1" applyFill="1" applyBorder="1" applyAlignment="1">
      <alignment horizontal="center" vertical="center"/>
    </xf>
    <xf numFmtId="164" fontId="5" fillId="2" borderId="5" xfId="1" applyNumberFormat="1" applyFont="1" applyFill="1" applyBorder="1" applyAlignment="1">
      <alignment horizontal="center" vertical="center"/>
    </xf>
    <xf numFmtId="10" fontId="5" fillId="2" borderId="6" xfId="1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right"/>
    </xf>
    <xf numFmtId="164" fontId="0" fillId="0" borderId="8" xfId="1" applyNumberFormat="1" applyFont="1" applyFill="1" applyBorder="1" applyAlignment="1">
      <alignment horizontal="center" vertical="center"/>
    </xf>
    <xf numFmtId="0" fontId="0" fillId="0" borderId="7" xfId="0" applyBorder="1"/>
    <xf numFmtId="10" fontId="0" fillId="0" borderId="8" xfId="1" applyNumberFormat="1" applyFont="1" applyFill="1" applyBorder="1" applyAlignment="1">
      <alignment horizontal="center" vertical="center"/>
    </xf>
    <xf numFmtId="0" fontId="5" fillId="0" borderId="29" xfId="0" applyFont="1" applyBorder="1" applyAlignment="1">
      <alignment horizontal="right"/>
    </xf>
    <xf numFmtId="9" fontId="0" fillId="0" borderId="30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9" fontId="0" fillId="0" borderId="30" xfId="1" applyFont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6" fillId="5" borderId="32" xfId="0" applyFont="1" applyFill="1" applyBorder="1"/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6" fillId="5" borderId="15" xfId="0" applyFont="1" applyFill="1" applyBorder="1" applyAlignment="1">
      <alignment wrapText="1"/>
    </xf>
    <xf numFmtId="9" fontId="0" fillId="0" borderId="14" xfId="0" applyNumberFormat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4" fontId="5" fillId="2" borderId="38" xfId="1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164" fontId="0" fillId="7" borderId="8" xfId="1" applyNumberFormat="1" applyFont="1" applyFill="1" applyBorder="1" applyAlignment="1">
      <alignment horizontal="center" vertical="center"/>
    </xf>
    <xf numFmtId="164" fontId="0" fillId="8" borderId="8" xfId="1" applyNumberFormat="1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9" fontId="0" fillId="7" borderId="8" xfId="1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1" fillId="5" borderId="0" xfId="0" applyFont="1" applyFill="1" applyBorder="1"/>
    <xf numFmtId="0" fontId="2" fillId="0" borderId="35" xfId="0" applyFont="1" applyBorder="1"/>
    <xf numFmtId="0" fontId="1" fillId="0" borderId="36" xfId="0" applyFont="1" applyBorder="1"/>
    <xf numFmtId="0" fontId="1" fillId="0" borderId="18" xfId="0" applyFont="1" applyBorder="1"/>
    <xf numFmtId="0" fontId="2" fillId="0" borderId="36" xfId="0" applyFont="1" applyBorder="1"/>
    <xf numFmtId="9" fontId="2" fillId="0" borderId="40" xfId="0" applyNumberFormat="1" applyFont="1" applyBorder="1" applyAlignment="1">
      <alignment horizontal="center"/>
    </xf>
    <xf numFmtId="0" fontId="2" fillId="5" borderId="14" xfId="0" applyFont="1" applyFill="1" applyBorder="1"/>
    <xf numFmtId="0" fontId="2" fillId="5" borderId="15" xfId="0" applyFont="1" applyFill="1" applyBorder="1"/>
    <xf numFmtId="0" fontId="2" fillId="5" borderId="16" xfId="0" applyFont="1" applyFill="1" applyBorder="1"/>
    <xf numFmtId="0" fontId="0" fillId="0" borderId="35" xfId="0" applyBorder="1"/>
    <xf numFmtId="0" fontId="0" fillId="0" borderId="36" xfId="0" applyBorder="1"/>
    <xf numFmtId="0" fontId="0" fillId="0" borderId="40" xfId="0" applyBorder="1"/>
    <xf numFmtId="0" fontId="1" fillId="5" borderId="14" xfId="0" applyFont="1" applyFill="1" applyBorder="1"/>
    <xf numFmtId="0" fontId="1" fillId="5" borderId="15" xfId="0" applyFont="1" applyFill="1" applyBorder="1"/>
    <xf numFmtId="0" fontId="1" fillId="5" borderId="16" xfId="0" applyFont="1" applyFill="1" applyBorder="1"/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5" fillId="0" borderId="0" xfId="0" applyFont="1"/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/>
    </xf>
    <xf numFmtId="164" fontId="0" fillId="7" borderId="0" xfId="1" applyNumberFormat="1" applyFont="1" applyFill="1" applyBorder="1" applyAlignment="1">
      <alignment horizontal="center" vertical="center"/>
    </xf>
    <xf numFmtId="164" fontId="0" fillId="7" borderId="0" xfId="1" applyNumberFormat="1" applyFont="1" applyFill="1" applyAlignment="1">
      <alignment horizontal="center" vertical="center"/>
    </xf>
    <xf numFmtId="164" fontId="5" fillId="7" borderId="8" xfId="1" applyNumberFormat="1" applyFont="1" applyFill="1" applyBorder="1" applyAlignment="1">
      <alignment horizontal="center" vertical="center"/>
    </xf>
    <xf numFmtId="164" fontId="0" fillId="7" borderId="30" xfId="1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0" fontId="0" fillId="0" borderId="48" xfId="1" applyNumberFormat="1" applyFont="1" applyBorder="1" applyAlignment="1">
      <alignment horizontal="center" vertical="center"/>
    </xf>
    <xf numFmtId="10" fontId="0" fillId="0" borderId="10" xfId="1" applyNumberFormat="1" applyFont="1" applyBorder="1" applyAlignment="1">
      <alignment horizontal="center" vertical="center"/>
    </xf>
    <xf numFmtId="10" fontId="0" fillId="0" borderId="26" xfId="1" applyNumberFormat="1" applyFont="1" applyBorder="1" applyAlignment="1">
      <alignment horizontal="center" vertical="center"/>
    </xf>
    <xf numFmtId="0" fontId="6" fillId="5" borderId="34" xfId="0" applyFont="1" applyFill="1" applyBorder="1"/>
    <xf numFmtId="0" fontId="0" fillId="7" borderId="2" xfId="0" applyFill="1" applyBorder="1"/>
    <xf numFmtId="0" fontId="0" fillId="7" borderId="41" xfId="0" applyFill="1" applyBorder="1"/>
    <xf numFmtId="0" fontId="5" fillId="7" borderId="42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zoomScale="160" zoomScaleNormal="160" zoomScalePageLayoutView="130" workbookViewId="0">
      <selection activeCell="A20" sqref="A20:XFD20"/>
    </sheetView>
  </sheetViews>
  <sheetFormatPr baseColWidth="10" defaultRowHeight="15" x14ac:dyDescent="0.2"/>
  <cols>
    <col min="1" max="1" width="3" bestFit="1" customWidth="1"/>
    <col min="2" max="2" width="91" bestFit="1" customWidth="1"/>
    <col min="3" max="3" width="10.83203125" style="1"/>
    <col min="4" max="4" width="12.6640625" bestFit="1" customWidth="1"/>
  </cols>
  <sheetData>
    <row r="1" spans="1:7" ht="16" thickBot="1" x14ac:dyDescent="0.25">
      <c r="B1" s="20" t="s">
        <v>22</v>
      </c>
      <c r="C1" s="20" t="s">
        <v>25</v>
      </c>
      <c r="D1" s="20" t="s">
        <v>26</v>
      </c>
      <c r="E1" s="20" t="s">
        <v>27</v>
      </c>
      <c r="F1" s="21" t="s">
        <v>28</v>
      </c>
    </row>
    <row r="2" spans="1:7" ht="16" x14ac:dyDescent="0.2">
      <c r="A2" s="10">
        <v>1</v>
      </c>
      <c r="B2" s="13" t="s">
        <v>0</v>
      </c>
      <c r="C2" s="56"/>
      <c r="D2" s="18" t="s">
        <v>24</v>
      </c>
      <c r="E2" s="16" t="s">
        <v>24</v>
      </c>
      <c r="F2" s="59"/>
    </row>
    <row r="3" spans="1:7" ht="16" x14ac:dyDescent="0.2">
      <c r="A3" s="11">
        <v>2</v>
      </c>
      <c r="B3" s="14" t="s">
        <v>1</v>
      </c>
      <c r="C3" s="57"/>
      <c r="D3" s="19" t="s">
        <v>24</v>
      </c>
      <c r="E3" s="17" t="s">
        <v>24</v>
      </c>
      <c r="F3" s="60"/>
    </row>
    <row r="4" spans="1:7" ht="16" x14ac:dyDescent="0.2">
      <c r="A4" s="11">
        <v>3</v>
      </c>
      <c r="B4" s="14" t="s">
        <v>2</v>
      </c>
      <c r="C4" s="57"/>
      <c r="D4" s="19" t="s">
        <v>24</v>
      </c>
      <c r="E4" s="17" t="s">
        <v>24</v>
      </c>
      <c r="F4" s="60"/>
    </row>
    <row r="5" spans="1:7" ht="16" x14ac:dyDescent="0.2">
      <c r="A5" s="11">
        <v>4</v>
      </c>
      <c r="B5" s="14" t="s">
        <v>3</v>
      </c>
      <c r="C5" s="57"/>
      <c r="D5" s="19" t="s">
        <v>185</v>
      </c>
      <c r="E5" s="17" t="s">
        <v>185</v>
      </c>
      <c r="F5" s="60"/>
    </row>
    <row r="6" spans="1:7" ht="16" x14ac:dyDescent="0.2">
      <c r="A6" s="11">
        <v>5</v>
      </c>
      <c r="B6" s="14" t="s">
        <v>4</v>
      </c>
      <c r="C6" s="57"/>
      <c r="D6" s="19" t="s">
        <v>24</v>
      </c>
      <c r="E6" s="17" t="s">
        <v>24</v>
      </c>
      <c r="F6" s="60"/>
    </row>
    <row r="7" spans="1:7" ht="16" x14ac:dyDescent="0.2">
      <c r="A7" s="11">
        <v>6</v>
      </c>
      <c r="B7" s="14" t="s">
        <v>5</v>
      </c>
      <c r="C7" s="57"/>
      <c r="D7" s="19" t="s">
        <v>185</v>
      </c>
      <c r="E7" s="17" t="s">
        <v>185</v>
      </c>
      <c r="F7" s="60"/>
      <c r="G7" t="s">
        <v>190</v>
      </c>
    </row>
    <row r="8" spans="1:7" ht="16" x14ac:dyDescent="0.2">
      <c r="A8" s="11">
        <v>7</v>
      </c>
      <c r="B8" s="14" t="s">
        <v>6</v>
      </c>
      <c r="C8" s="57"/>
      <c r="D8" s="19" t="s">
        <v>24</v>
      </c>
      <c r="E8" s="17" t="s">
        <v>24</v>
      </c>
      <c r="F8" s="60"/>
    </row>
    <row r="9" spans="1:7" ht="16" x14ac:dyDescent="0.2">
      <c r="A9" s="11">
        <v>8</v>
      </c>
      <c r="B9" s="14" t="s">
        <v>7</v>
      </c>
      <c r="C9" s="57"/>
      <c r="D9" s="19" t="s">
        <v>24</v>
      </c>
      <c r="E9" s="17" t="s">
        <v>24</v>
      </c>
      <c r="F9" s="60"/>
    </row>
    <row r="10" spans="1:7" ht="16" x14ac:dyDescent="0.2">
      <c r="A10" s="11">
        <v>9</v>
      </c>
      <c r="B10" s="14" t="s">
        <v>8</v>
      </c>
      <c r="C10" s="57"/>
      <c r="D10" s="19" t="s">
        <v>24</v>
      </c>
      <c r="E10" s="17" t="s">
        <v>24</v>
      </c>
      <c r="F10" s="60"/>
    </row>
    <row r="11" spans="1:7" ht="16" x14ac:dyDescent="0.2">
      <c r="A11" s="11">
        <v>10</v>
      </c>
      <c r="B11" s="14" t="s">
        <v>9</v>
      </c>
      <c r="C11" s="57"/>
      <c r="D11" s="19" t="s">
        <v>24</v>
      </c>
      <c r="E11" s="17" t="s">
        <v>24</v>
      </c>
      <c r="F11" s="60"/>
    </row>
    <row r="12" spans="1:7" ht="16" x14ac:dyDescent="0.2">
      <c r="A12" s="11">
        <v>11</v>
      </c>
      <c r="B12" s="14" t="s">
        <v>10</v>
      </c>
      <c r="C12" s="57"/>
      <c r="D12" s="19" t="s">
        <v>24</v>
      </c>
      <c r="E12" s="17" t="s">
        <v>24</v>
      </c>
      <c r="F12" s="60"/>
    </row>
    <row r="13" spans="1:7" ht="16" x14ac:dyDescent="0.2">
      <c r="A13" s="11">
        <v>12</v>
      </c>
      <c r="B13" s="14" t="s">
        <v>11</v>
      </c>
      <c r="C13" s="57"/>
      <c r="D13" s="19" t="s">
        <v>24</v>
      </c>
      <c r="E13" s="17" t="s">
        <v>24</v>
      </c>
      <c r="F13" s="60"/>
    </row>
    <row r="14" spans="1:7" ht="16" x14ac:dyDescent="0.2">
      <c r="A14" s="11">
        <v>13</v>
      </c>
      <c r="B14" s="14" t="s">
        <v>12</v>
      </c>
      <c r="C14" s="57"/>
      <c r="D14" s="19" t="s">
        <v>24</v>
      </c>
      <c r="E14" s="17" t="s">
        <v>24</v>
      </c>
      <c r="F14" s="60"/>
    </row>
    <row r="15" spans="1:7" ht="16" x14ac:dyDescent="0.2">
      <c r="A15" s="11">
        <v>14</v>
      </c>
      <c r="B15" s="14" t="s">
        <v>13</v>
      </c>
      <c r="C15" s="57"/>
      <c r="D15" s="19" t="s">
        <v>24</v>
      </c>
      <c r="E15" s="17" t="s">
        <v>24</v>
      </c>
      <c r="F15" s="60"/>
    </row>
    <row r="16" spans="1:7" ht="16" x14ac:dyDescent="0.2">
      <c r="A16" s="11">
        <v>15</v>
      </c>
      <c r="B16" s="14" t="s">
        <v>14</v>
      </c>
      <c r="C16" s="57"/>
      <c r="D16" s="19" t="s">
        <v>24</v>
      </c>
      <c r="E16" s="17" t="s">
        <v>24</v>
      </c>
      <c r="F16" s="60"/>
    </row>
    <row r="17" spans="1:7" ht="16" x14ac:dyDescent="0.2">
      <c r="A17" s="11">
        <v>16</v>
      </c>
      <c r="B17" s="14" t="s">
        <v>15</v>
      </c>
      <c r="C17" s="57"/>
      <c r="D17" s="19" t="s">
        <v>185</v>
      </c>
      <c r="E17" s="17" t="s">
        <v>185</v>
      </c>
      <c r="F17" s="60"/>
    </row>
    <row r="18" spans="1:7" ht="16" x14ac:dyDescent="0.2">
      <c r="A18" s="11">
        <v>17</v>
      </c>
      <c r="B18" s="14" t="s">
        <v>16</v>
      </c>
      <c r="C18" s="57"/>
      <c r="D18" s="19" t="s">
        <v>24</v>
      </c>
      <c r="E18" s="17" t="s">
        <v>24</v>
      </c>
      <c r="F18" s="60"/>
    </row>
    <row r="19" spans="1:7" ht="16" x14ac:dyDescent="0.2">
      <c r="A19" s="11">
        <v>18</v>
      </c>
      <c r="B19" s="14" t="s">
        <v>17</v>
      </c>
      <c r="C19" s="57"/>
      <c r="D19" s="19" t="s">
        <v>24</v>
      </c>
      <c r="E19" s="17" t="s">
        <v>24</v>
      </c>
      <c r="F19" s="60"/>
    </row>
    <row r="20" spans="1:7" ht="16" x14ac:dyDescent="0.2">
      <c r="A20" s="11">
        <v>19</v>
      </c>
      <c r="B20" s="14" t="s">
        <v>18</v>
      </c>
      <c r="C20" s="57"/>
      <c r="D20" s="19" t="s">
        <v>185</v>
      </c>
      <c r="E20" s="17" t="s">
        <v>185</v>
      </c>
      <c r="F20" s="60"/>
      <c r="G20" t="s">
        <v>191</v>
      </c>
    </row>
    <row r="21" spans="1:7" ht="16" x14ac:dyDescent="0.2">
      <c r="A21" s="11">
        <v>20</v>
      </c>
      <c r="B21" s="14" t="s">
        <v>19</v>
      </c>
      <c r="C21" s="57"/>
      <c r="D21" s="19" t="s">
        <v>24</v>
      </c>
      <c r="E21" s="17" t="s">
        <v>24</v>
      </c>
      <c r="F21" s="60"/>
    </row>
    <row r="22" spans="1:7" ht="16" x14ac:dyDescent="0.2">
      <c r="A22" s="11">
        <v>21</v>
      </c>
      <c r="B22" s="14" t="s">
        <v>20</v>
      </c>
      <c r="C22" s="57"/>
      <c r="D22" s="19" t="s">
        <v>24</v>
      </c>
      <c r="E22" s="17" t="s">
        <v>24</v>
      </c>
      <c r="F22" s="60"/>
    </row>
    <row r="23" spans="1:7" ht="16" x14ac:dyDescent="0.2">
      <c r="A23" s="11">
        <v>22</v>
      </c>
      <c r="B23" s="14" t="s">
        <v>21</v>
      </c>
      <c r="C23" s="57"/>
      <c r="D23" s="19" t="s">
        <v>24</v>
      </c>
      <c r="E23" s="17" t="s">
        <v>24</v>
      </c>
      <c r="F23" s="60"/>
    </row>
    <row r="24" spans="1:7" ht="17" thickBot="1" x14ac:dyDescent="0.25">
      <c r="A24" s="12">
        <v>23</v>
      </c>
      <c r="B24" s="15" t="s">
        <v>29</v>
      </c>
      <c r="C24" s="58"/>
      <c r="D24" s="23" t="s">
        <v>24</v>
      </c>
      <c r="E24" s="22" t="s">
        <v>24</v>
      </c>
      <c r="F24" s="61"/>
    </row>
    <row r="25" spans="1:7" ht="17" thickBot="1" x14ac:dyDescent="0.25">
      <c r="B25" s="2" t="s">
        <v>23</v>
      </c>
      <c r="C25" s="24">
        <f>COUNTIF(C2:C24,"si")/$A$24</f>
        <v>0</v>
      </c>
      <c r="D25" s="25">
        <f>COUNTIF(D2:D24,"Si")/$A$24</f>
        <v>0.17391304347826086</v>
      </c>
      <c r="E25" s="25">
        <f>COUNTIF(E2:E24,"si")/$A$24</f>
        <v>0.17391304347826086</v>
      </c>
      <c r="F25" s="26">
        <f>COUNTIF(F2:F24,"si")/$A$24</f>
        <v>0</v>
      </c>
    </row>
  </sheetData>
  <pageMargins left="0.7" right="0.7" top="0.75" bottom="0.75" header="0.3" footer="0.3"/>
  <pageSetup paperSize="9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zoomScale="170" zoomScaleNormal="170" zoomScalePageLayoutView="130" workbookViewId="0">
      <selection activeCell="A23" sqref="A23:XFD23"/>
    </sheetView>
  </sheetViews>
  <sheetFormatPr baseColWidth="10" defaultRowHeight="15" x14ac:dyDescent="0.2"/>
  <cols>
    <col min="1" max="1" width="3" style="1" bestFit="1" customWidth="1"/>
    <col min="2" max="2" width="104.1640625" bestFit="1" customWidth="1"/>
    <col min="3" max="3" width="10.83203125" style="1"/>
    <col min="4" max="4" width="12.6640625" style="1" bestFit="1" customWidth="1"/>
    <col min="5" max="6" width="10.83203125" style="1"/>
  </cols>
  <sheetData>
    <row r="1" spans="1:6" ht="16" thickBot="1" x14ac:dyDescent="0.25">
      <c r="A1"/>
      <c r="B1" s="20" t="s">
        <v>22</v>
      </c>
      <c r="C1" s="20" t="s">
        <v>25</v>
      </c>
      <c r="D1" s="20" t="s">
        <v>26</v>
      </c>
      <c r="E1" s="20" t="s">
        <v>27</v>
      </c>
      <c r="F1" s="21" t="s">
        <v>28</v>
      </c>
    </row>
    <row r="2" spans="1:6" ht="16" x14ac:dyDescent="0.2">
      <c r="A2" s="10">
        <v>1</v>
      </c>
      <c r="B2" s="13" t="s">
        <v>31</v>
      </c>
      <c r="C2" s="56"/>
      <c r="D2" s="18" t="s">
        <v>24</v>
      </c>
      <c r="E2" s="16" t="s">
        <v>24</v>
      </c>
      <c r="F2" s="59"/>
    </row>
    <row r="3" spans="1:6" ht="16" x14ac:dyDescent="0.2">
      <c r="A3" s="11">
        <v>2</v>
      </c>
      <c r="B3" s="14" t="s">
        <v>32</v>
      </c>
      <c r="C3" s="57"/>
      <c r="D3" s="19" t="s">
        <v>24</v>
      </c>
      <c r="E3" s="17" t="s">
        <v>24</v>
      </c>
      <c r="F3" s="60"/>
    </row>
    <row r="4" spans="1:6" ht="16" x14ac:dyDescent="0.2">
      <c r="A4" s="11">
        <v>3</v>
      </c>
      <c r="B4" s="14" t="s">
        <v>33</v>
      </c>
      <c r="C4" s="57"/>
      <c r="D4" s="71" t="s">
        <v>185</v>
      </c>
      <c r="E4" s="72" t="s">
        <v>185</v>
      </c>
      <c r="F4" s="60"/>
    </row>
    <row r="5" spans="1:6" ht="16" x14ac:dyDescent="0.2">
      <c r="A5" s="11">
        <v>4</v>
      </c>
      <c r="B5" s="14" t="s">
        <v>34</v>
      </c>
      <c r="C5" s="57"/>
      <c r="D5" s="71" t="s">
        <v>185</v>
      </c>
      <c r="E5" s="72" t="s">
        <v>185</v>
      </c>
      <c r="F5" s="60"/>
    </row>
    <row r="6" spans="1:6" ht="16" x14ac:dyDescent="0.2">
      <c r="A6" s="11">
        <v>5</v>
      </c>
      <c r="B6" s="14" t="s">
        <v>35</v>
      </c>
      <c r="C6" s="57"/>
      <c r="D6" s="71" t="s">
        <v>185</v>
      </c>
      <c r="E6" s="72" t="s">
        <v>185</v>
      </c>
      <c r="F6" s="60"/>
    </row>
    <row r="7" spans="1:6" ht="16" x14ac:dyDescent="0.2">
      <c r="A7" s="11">
        <v>6</v>
      </c>
      <c r="B7" s="14" t="s">
        <v>36</v>
      </c>
      <c r="C7" s="57"/>
      <c r="D7" s="19" t="s">
        <v>24</v>
      </c>
      <c r="E7" s="17" t="s">
        <v>24</v>
      </c>
      <c r="F7" s="60"/>
    </row>
    <row r="8" spans="1:6" ht="16" x14ac:dyDescent="0.2">
      <c r="A8" s="11">
        <v>7</v>
      </c>
      <c r="B8" s="14" t="s">
        <v>37</v>
      </c>
      <c r="C8" s="57"/>
      <c r="D8" s="19" t="s">
        <v>24</v>
      </c>
      <c r="E8" s="17" t="s">
        <v>24</v>
      </c>
      <c r="F8" s="60"/>
    </row>
    <row r="9" spans="1:6" ht="16" x14ac:dyDescent="0.2">
      <c r="A9" s="11">
        <v>8</v>
      </c>
      <c r="B9" s="14" t="s">
        <v>38</v>
      </c>
      <c r="C9" s="57"/>
      <c r="D9" s="71" t="s">
        <v>185</v>
      </c>
      <c r="E9" s="72" t="s">
        <v>185</v>
      </c>
      <c r="F9" s="60"/>
    </row>
    <row r="10" spans="1:6" ht="16" x14ac:dyDescent="0.2">
      <c r="A10" s="11">
        <v>9</v>
      </c>
      <c r="B10" s="14" t="s">
        <v>39</v>
      </c>
      <c r="C10" s="57"/>
      <c r="D10" s="71" t="s">
        <v>185</v>
      </c>
      <c r="E10" s="72" t="s">
        <v>185</v>
      </c>
      <c r="F10" s="60"/>
    </row>
    <row r="11" spans="1:6" ht="16" x14ac:dyDescent="0.2">
      <c r="A11" s="11">
        <v>10</v>
      </c>
      <c r="B11" s="14" t="s">
        <v>40</v>
      </c>
      <c r="C11" s="57"/>
      <c r="D11" s="71" t="s">
        <v>185</v>
      </c>
      <c r="E11" s="72" t="s">
        <v>185</v>
      </c>
      <c r="F11" s="60"/>
    </row>
    <row r="12" spans="1:6" ht="16" x14ac:dyDescent="0.2">
      <c r="A12" s="11">
        <v>11</v>
      </c>
      <c r="B12" s="14" t="s">
        <v>41</v>
      </c>
      <c r="C12" s="57"/>
      <c r="D12" s="71" t="s">
        <v>185</v>
      </c>
      <c r="E12" s="72" t="s">
        <v>185</v>
      </c>
      <c r="F12" s="60"/>
    </row>
    <row r="13" spans="1:6" ht="16" x14ac:dyDescent="0.2">
      <c r="A13" s="11">
        <v>12</v>
      </c>
      <c r="B13" s="14" t="s">
        <v>42</v>
      </c>
      <c r="C13" s="57"/>
      <c r="D13" s="71" t="s">
        <v>185</v>
      </c>
      <c r="E13" s="72" t="s">
        <v>185</v>
      </c>
      <c r="F13" s="60"/>
    </row>
    <row r="14" spans="1:6" ht="16" x14ac:dyDescent="0.2">
      <c r="A14" s="11">
        <v>13</v>
      </c>
      <c r="B14" s="14" t="s">
        <v>43</v>
      </c>
      <c r="C14" s="57"/>
      <c r="D14" s="19" t="s">
        <v>24</v>
      </c>
      <c r="E14" s="17" t="s">
        <v>24</v>
      </c>
      <c r="F14" s="60"/>
    </row>
    <row r="15" spans="1:6" ht="16" x14ac:dyDescent="0.2">
      <c r="A15" s="11">
        <v>14</v>
      </c>
      <c r="B15" s="14" t="s">
        <v>44</v>
      </c>
      <c r="C15" s="57"/>
      <c r="D15" s="71" t="s">
        <v>185</v>
      </c>
      <c r="E15" s="72" t="s">
        <v>185</v>
      </c>
      <c r="F15" s="60"/>
    </row>
    <row r="16" spans="1:6" ht="16" x14ac:dyDescent="0.2">
      <c r="A16" s="11">
        <v>15</v>
      </c>
      <c r="B16" s="14" t="s">
        <v>45</v>
      </c>
      <c r="C16" s="57"/>
      <c r="D16" s="19" t="s">
        <v>24</v>
      </c>
      <c r="E16" s="17" t="s">
        <v>24</v>
      </c>
      <c r="F16" s="60"/>
    </row>
    <row r="17" spans="1:6" ht="16" x14ac:dyDescent="0.2">
      <c r="A17" s="11">
        <v>16</v>
      </c>
      <c r="B17" s="14" t="s">
        <v>46</v>
      </c>
      <c r="C17" s="57"/>
      <c r="D17" s="71" t="s">
        <v>185</v>
      </c>
      <c r="E17" s="72" t="s">
        <v>185</v>
      </c>
      <c r="F17" s="60"/>
    </row>
    <row r="18" spans="1:6" ht="16" x14ac:dyDescent="0.2">
      <c r="A18" s="11">
        <v>17</v>
      </c>
      <c r="B18" s="14" t="s">
        <v>47</v>
      </c>
      <c r="C18" s="57"/>
      <c r="D18" s="19" t="s">
        <v>24</v>
      </c>
      <c r="E18" s="17" t="s">
        <v>24</v>
      </c>
      <c r="F18" s="60"/>
    </row>
    <row r="19" spans="1:6" ht="16" x14ac:dyDescent="0.2">
      <c r="A19" s="11">
        <v>18</v>
      </c>
      <c r="B19" s="14" t="s">
        <v>48</v>
      </c>
      <c r="C19" s="57"/>
      <c r="D19" s="71" t="s">
        <v>185</v>
      </c>
      <c r="E19" s="72" t="s">
        <v>185</v>
      </c>
      <c r="F19" s="60"/>
    </row>
    <row r="20" spans="1:6" ht="16" x14ac:dyDescent="0.2">
      <c r="A20" s="11">
        <v>19</v>
      </c>
      <c r="B20" s="14" t="s">
        <v>49</v>
      </c>
      <c r="C20" s="57"/>
      <c r="D20" s="71" t="s">
        <v>185</v>
      </c>
      <c r="E20" s="72" t="s">
        <v>185</v>
      </c>
      <c r="F20" s="60"/>
    </row>
    <row r="21" spans="1:6" ht="16" x14ac:dyDescent="0.2">
      <c r="A21" s="11">
        <v>20</v>
      </c>
      <c r="B21" s="14" t="s">
        <v>50</v>
      </c>
      <c r="C21" s="57"/>
      <c r="D21" s="19" t="s">
        <v>24</v>
      </c>
      <c r="E21" s="17" t="s">
        <v>24</v>
      </c>
      <c r="F21" s="60"/>
    </row>
    <row r="22" spans="1:6" ht="16" x14ac:dyDescent="0.2">
      <c r="A22" s="11">
        <v>21</v>
      </c>
      <c r="B22" s="14" t="s">
        <v>51</v>
      </c>
      <c r="C22" s="57"/>
      <c r="D22" s="19" t="s">
        <v>24</v>
      </c>
      <c r="E22" s="17" t="s">
        <v>24</v>
      </c>
      <c r="F22" s="60"/>
    </row>
    <row r="23" spans="1:6" ht="17" thickBot="1" x14ac:dyDescent="0.25">
      <c r="A23" s="12">
        <v>22</v>
      </c>
      <c r="B23" s="15" t="s">
        <v>52</v>
      </c>
      <c r="C23" s="58"/>
      <c r="D23" s="73" t="s">
        <v>185</v>
      </c>
      <c r="E23" s="74" t="s">
        <v>185</v>
      </c>
      <c r="F23" s="61"/>
    </row>
    <row r="24" spans="1:6" ht="17" thickBot="1" x14ac:dyDescent="0.25">
      <c r="A24"/>
      <c r="B24" s="2" t="s">
        <v>23</v>
      </c>
      <c r="C24" s="24">
        <f>COUNTIF(C2:C23,"si")/$A$23</f>
        <v>0</v>
      </c>
      <c r="D24" s="25">
        <f>COUNTIF(D2:D23,"si")/$A$23</f>
        <v>0.59090909090909094</v>
      </c>
      <c r="E24" s="25">
        <f>COUNTIF(E2:E23,"si")/$A$23</f>
        <v>0.59090909090909094</v>
      </c>
      <c r="F24" s="26">
        <f>COUNTIF(F2:F23,"si")/$A$23</f>
        <v>0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zoomScale="170" zoomScaleNormal="170" zoomScalePageLayoutView="130" workbookViewId="0">
      <selection activeCell="G26" sqref="G26"/>
    </sheetView>
  </sheetViews>
  <sheetFormatPr baseColWidth="10" defaultRowHeight="15" x14ac:dyDescent="0.2"/>
  <cols>
    <col min="1" max="1" width="3.5" customWidth="1"/>
    <col min="2" max="2" width="94.33203125" bestFit="1" customWidth="1"/>
  </cols>
  <sheetData>
    <row r="1" spans="1:7" ht="16" thickBot="1" x14ac:dyDescent="0.25">
      <c r="B1" s="20" t="s">
        <v>22</v>
      </c>
      <c r="C1" s="20" t="s">
        <v>25</v>
      </c>
      <c r="D1" s="20" t="s">
        <v>26</v>
      </c>
      <c r="E1" s="20" t="s">
        <v>27</v>
      </c>
      <c r="F1" s="21" t="s">
        <v>28</v>
      </c>
    </row>
    <row r="2" spans="1:7" ht="16" x14ac:dyDescent="0.2">
      <c r="A2" s="10">
        <v>1</v>
      </c>
      <c r="B2" s="13" t="s">
        <v>53</v>
      </c>
      <c r="C2" s="56"/>
      <c r="D2" s="75" t="s">
        <v>185</v>
      </c>
      <c r="E2" s="76" t="s">
        <v>185</v>
      </c>
      <c r="F2" s="59"/>
      <c r="G2" t="s">
        <v>187</v>
      </c>
    </row>
    <row r="3" spans="1:7" ht="16" x14ac:dyDescent="0.2">
      <c r="A3" s="11">
        <v>2</v>
      </c>
      <c r="B3" s="14" t="s">
        <v>54</v>
      </c>
      <c r="C3" s="57"/>
      <c r="D3" s="71" t="s">
        <v>185</v>
      </c>
      <c r="E3" s="72" t="s">
        <v>185</v>
      </c>
      <c r="F3" s="60"/>
    </row>
    <row r="4" spans="1:7" ht="16" x14ac:dyDescent="0.2">
      <c r="A4" s="11">
        <v>3</v>
      </c>
      <c r="B4" s="14" t="s">
        <v>198</v>
      </c>
      <c r="C4" s="57"/>
      <c r="D4" s="71" t="s">
        <v>185</v>
      </c>
      <c r="E4" s="72" t="s">
        <v>185</v>
      </c>
      <c r="F4" s="60"/>
    </row>
    <row r="5" spans="1:7" ht="16" x14ac:dyDescent="0.2">
      <c r="A5" s="11">
        <v>4</v>
      </c>
      <c r="B5" s="14" t="s">
        <v>55</v>
      </c>
      <c r="C5" s="57"/>
      <c r="D5" s="71" t="s">
        <v>185</v>
      </c>
      <c r="E5" s="72" t="s">
        <v>185</v>
      </c>
      <c r="F5" s="60"/>
    </row>
    <row r="6" spans="1:7" ht="16" x14ac:dyDescent="0.2">
      <c r="A6" s="11">
        <v>5</v>
      </c>
      <c r="B6" s="14" t="s">
        <v>56</v>
      </c>
      <c r="C6" s="57"/>
      <c r="D6" s="19" t="s">
        <v>24</v>
      </c>
      <c r="E6" s="17" t="s">
        <v>24</v>
      </c>
      <c r="F6" s="60"/>
    </row>
    <row r="7" spans="1:7" ht="16" x14ac:dyDescent="0.2">
      <c r="A7" s="11">
        <v>6</v>
      </c>
      <c r="B7" s="14" t="s">
        <v>199</v>
      </c>
      <c r="C7" s="57"/>
      <c r="D7" s="71" t="s">
        <v>185</v>
      </c>
      <c r="E7" s="72" t="s">
        <v>185</v>
      </c>
      <c r="F7" s="60"/>
    </row>
    <row r="8" spans="1:7" ht="16" x14ac:dyDescent="0.2">
      <c r="A8" s="11">
        <v>7</v>
      </c>
      <c r="B8" s="14" t="s">
        <v>57</v>
      </c>
      <c r="C8" s="57"/>
      <c r="D8" s="71" t="s">
        <v>185</v>
      </c>
      <c r="E8" s="72" t="s">
        <v>185</v>
      </c>
      <c r="F8" s="60"/>
    </row>
    <row r="9" spans="1:7" ht="16" x14ac:dyDescent="0.2">
      <c r="A9" s="11">
        <v>8</v>
      </c>
      <c r="B9" s="14" t="s">
        <v>58</v>
      </c>
      <c r="C9" s="57"/>
      <c r="D9" s="71" t="s">
        <v>185</v>
      </c>
      <c r="E9" s="72" t="s">
        <v>185</v>
      </c>
      <c r="F9" s="60"/>
    </row>
    <row r="10" spans="1:7" ht="16" x14ac:dyDescent="0.2">
      <c r="A10" s="11">
        <v>9</v>
      </c>
      <c r="B10" s="14" t="s">
        <v>59</v>
      </c>
      <c r="C10" s="57"/>
      <c r="D10" s="71" t="s">
        <v>185</v>
      </c>
      <c r="E10" s="72" t="s">
        <v>185</v>
      </c>
      <c r="F10" s="60"/>
    </row>
    <row r="11" spans="1:7" ht="16" x14ac:dyDescent="0.2">
      <c r="A11" s="11">
        <v>10</v>
      </c>
      <c r="B11" s="14" t="s">
        <v>60</v>
      </c>
      <c r="C11" s="57"/>
      <c r="D11" s="71" t="s">
        <v>185</v>
      </c>
      <c r="E11" s="72" t="s">
        <v>185</v>
      </c>
      <c r="F11" s="60"/>
    </row>
    <row r="12" spans="1:7" ht="16" x14ac:dyDescent="0.2">
      <c r="A12" s="11">
        <v>11</v>
      </c>
      <c r="B12" s="14" t="s">
        <v>61</v>
      </c>
      <c r="C12" s="57"/>
      <c r="D12" s="71" t="s">
        <v>185</v>
      </c>
      <c r="E12" s="72" t="s">
        <v>185</v>
      </c>
      <c r="F12" s="60"/>
    </row>
    <row r="13" spans="1:7" ht="16" x14ac:dyDescent="0.2">
      <c r="A13" s="11">
        <v>12</v>
      </c>
      <c r="B13" s="14" t="s">
        <v>62</v>
      </c>
      <c r="C13" s="57"/>
      <c r="D13" s="71" t="s">
        <v>185</v>
      </c>
      <c r="E13" s="72" t="s">
        <v>185</v>
      </c>
      <c r="F13" s="60"/>
    </row>
    <row r="14" spans="1:7" ht="16" x14ac:dyDescent="0.2">
      <c r="A14" s="11">
        <v>13</v>
      </c>
      <c r="B14" s="14" t="s">
        <v>63</v>
      </c>
      <c r="C14" s="57"/>
      <c r="D14" s="71" t="s">
        <v>185</v>
      </c>
      <c r="E14" s="72" t="s">
        <v>185</v>
      </c>
      <c r="F14" s="60"/>
    </row>
    <row r="15" spans="1:7" ht="16" x14ac:dyDescent="0.2">
      <c r="A15" s="11">
        <v>14</v>
      </c>
      <c r="B15" s="14" t="s">
        <v>64</v>
      </c>
      <c r="C15" s="57"/>
      <c r="D15" s="19" t="s">
        <v>24</v>
      </c>
      <c r="E15" s="17" t="s">
        <v>24</v>
      </c>
      <c r="F15" s="60"/>
    </row>
    <row r="16" spans="1:7" ht="16" x14ac:dyDescent="0.2">
      <c r="A16" s="11">
        <v>15</v>
      </c>
      <c r="B16" s="14" t="s">
        <v>65</v>
      </c>
      <c r="C16" s="57"/>
      <c r="D16" s="71" t="s">
        <v>185</v>
      </c>
      <c r="E16" s="72" t="s">
        <v>185</v>
      </c>
      <c r="F16" s="60"/>
    </row>
    <row r="17" spans="1:7" ht="16" x14ac:dyDescent="0.2">
      <c r="A17" s="11">
        <v>16</v>
      </c>
      <c r="B17" s="14" t="s">
        <v>66</v>
      </c>
      <c r="C17" s="57"/>
      <c r="D17" s="71" t="s">
        <v>185</v>
      </c>
      <c r="E17" s="72" t="s">
        <v>185</v>
      </c>
      <c r="F17" s="60"/>
    </row>
    <row r="18" spans="1:7" ht="16" x14ac:dyDescent="0.2">
      <c r="A18" s="11">
        <v>17</v>
      </c>
      <c r="B18" s="14" t="s">
        <v>67</v>
      </c>
      <c r="C18" s="57"/>
      <c r="D18" s="71" t="s">
        <v>185</v>
      </c>
      <c r="E18" s="72" t="s">
        <v>185</v>
      </c>
      <c r="F18" s="60"/>
    </row>
    <row r="19" spans="1:7" ht="16" x14ac:dyDescent="0.2">
      <c r="A19" s="11">
        <v>18</v>
      </c>
      <c r="B19" s="14" t="s">
        <v>68</v>
      </c>
      <c r="C19" s="57"/>
      <c r="D19" s="69" t="s">
        <v>24</v>
      </c>
      <c r="E19" s="70" t="s">
        <v>24</v>
      </c>
      <c r="F19" s="60"/>
      <c r="G19" t="s">
        <v>187</v>
      </c>
    </row>
    <row r="20" spans="1:7" ht="16" x14ac:dyDescent="0.2">
      <c r="A20" s="11">
        <v>19</v>
      </c>
      <c r="B20" s="14" t="s">
        <v>72</v>
      </c>
      <c r="C20" s="57"/>
      <c r="D20" s="19" t="s">
        <v>24</v>
      </c>
      <c r="E20" s="17" t="s">
        <v>24</v>
      </c>
      <c r="F20" s="60"/>
    </row>
    <row r="21" spans="1:7" ht="16" x14ac:dyDescent="0.2">
      <c r="A21" s="11">
        <v>20</v>
      </c>
      <c r="B21" s="14" t="s">
        <v>73</v>
      </c>
      <c r="C21" s="57"/>
      <c r="D21" s="71" t="s">
        <v>185</v>
      </c>
      <c r="E21" s="72" t="s">
        <v>185</v>
      </c>
      <c r="F21" s="60"/>
    </row>
    <row r="22" spans="1:7" ht="16" x14ac:dyDescent="0.2">
      <c r="A22" s="11">
        <v>21</v>
      </c>
      <c r="B22" s="14" t="s">
        <v>69</v>
      </c>
      <c r="C22" s="57"/>
      <c r="D22" s="71" t="s">
        <v>185</v>
      </c>
      <c r="E22" s="72" t="s">
        <v>185</v>
      </c>
      <c r="F22" s="60"/>
    </row>
    <row r="23" spans="1:7" ht="16" x14ac:dyDescent="0.2">
      <c r="A23" s="11">
        <v>22</v>
      </c>
      <c r="B23" s="14" t="s">
        <v>70</v>
      </c>
      <c r="C23" s="57"/>
      <c r="D23" s="71" t="s">
        <v>185</v>
      </c>
      <c r="E23" s="72" t="s">
        <v>186</v>
      </c>
      <c r="F23" s="60"/>
    </row>
    <row r="24" spans="1:7" ht="17" thickBot="1" x14ac:dyDescent="0.25">
      <c r="A24" s="12">
        <v>23</v>
      </c>
      <c r="B24" s="15" t="s">
        <v>71</v>
      </c>
      <c r="C24" s="58"/>
      <c r="D24" s="73" t="s">
        <v>185</v>
      </c>
      <c r="E24" s="74" t="s">
        <v>185</v>
      </c>
      <c r="F24" s="61"/>
    </row>
    <row r="25" spans="1:7" ht="17" thickBot="1" x14ac:dyDescent="0.25">
      <c r="B25" s="2" t="s">
        <v>23</v>
      </c>
      <c r="C25" s="24">
        <f>COUNTIF(C2:C24,"si")/$A$24</f>
        <v>0</v>
      </c>
      <c r="D25" s="25">
        <f>COUNTIF(D2:D24,"si")/$A$24</f>
        <v>0.82608695652173914</v>
      </c>
      <c r="E25" s="25">
        <f>COUNTIF(E2:E24,"si")/$A$24</f>
        <v>0.82608695652173914</v>
      </c>
      <c r="F25" s="26">
        <f>COUNTIF(F2:F24,"si")/$A$24</f>
        <v>0</v>
      </c>
    </row>
    <row r="26" spans="1:7" x14ac:dyDescent="0.2">
      <c r="G26" t="s">
        <v>188</v>
      </c>
    </row>
  </sheetData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zoomScale="170" zoomScaleNormal="170" zoomScalePageLayoutView="130" workbookViewId="0">
      <selection activeCell="D7" sqref="D7:E7"/>
    </sheetView>
  </sheetViews>
  <sheetFormatPr baseColWidth="10" defaultRowHeight="15" x14ac:dyDescent="0.2"/>
  <cols>
    <col min="1" max="1" width="3.6640625" customWidth="1"/>
    <col min="2" max="2" width="103.1640625" bestFit="1" customWidth="1"/>
    <col min="4" max="4" width="12.6640625" bestFit="1" customWidth="1"/>
  </cols>
  <sheetData>
    <row r="1" spans="1:7" ht="16" thickBot="1" x14ac:dyDescent="0.25">
      <c r="B1" s="20" t="s">
        <v>22</v>
      </c>
      <c r="C1" s="20" t="s">
        <v>25</v>
      </c>
      <c r="D1" s="20" t="s">
        <v>26</v>
      </c>
      <c r="E1" s="20" t="s">
        <v>27</v>
      </c>
      <c r="F1" s="21" t="s">
        <v>28</v>
      </c>
    </row>
    <row r="2" spans="1:7" ht="16" x14ac:dyDescent="0.2">
      <c r="A2" s="10">
        <v>1</v>
      </c>
      <c r="B2" s="13" t="s">
        <v>74</v>
      </c>
      <c r="C2" s="56"/>
      <c r="D2" s="75" t="s">
        <v>185</v>
      </c>
      <c r="E2" s="76" t="s">
        <v>185</v>
      </c>
      <c r="F2" s="59"/>
    </row>
    <row r="3" spans="1:7" ht="16" x14ac:dyDescent="0.2">
      <c r="A3" s="11">
        <v>2</v>
      </c>
      <c r="B3" s="14" t="s">
        <v>75</v>
      </c>
      <c r="C3" s="57"/>
      <c r="D3" s="71" t="s">
        <v>185</v>
      </c>
      <c r="E3" s="72" t="s">
        <v>185</v>
      </c>
      <c r="F3" s="60"/>
    </row>
    <row r="4" spans="1:7" ht="16" x14ac:dyDescent="0.2">
      <c r="A4" s="11">
        <v>3</v>
      </c>
      <c r="B4" s="14" t="s">
        <v>197</v>
      </c>
      <c r="C4" s="57"/>
      <c r="D4" s="71" t="s">
        <v>186</v>
      </c>
      <c r="E4" s="72" t="s">
        <v>185</v>
      </c>
      <c r="F4" s="60"/>
    </row>
    <row r="5" spans="1:7" ht="16" x14ac:dyDescent="0.2">
      <c r="A5" s="11">
        <v>4</v>
      </c>
      <c r="B5" s="14" t="s">
        <v>76</v>
      </c>
      <c r="C5" s="57"/>
      <c r="D5" s="19" t="s">
        <v>24</v>
      </c>
      <c r="E5" s="17" t="s">
        <v>24</v>
      </c>
      <c r="F5" s="60"/>
    </row>
    <row r="6" spans="1:7" ht="16" x14ac:dyDescent="0.2">
      <c r="A6" s="11">
        <v>5</v>
      </c>
      <c r="B6" s="14" t="s">
        <v>77</v>
      </c>
      <c r="C6" s="57"/>
      <c r="D6" s="71" t="s">
        <v>185</v>
      </c>
      <c r="E6" s="72" t="s">
        <v>185</v>
      </c>
      <c r="F6" s="60"/>
      <c r="G6" t="s">
        <v>218</v>
      </c>
    </row>
    <row r="7" spans="1:7" ht="16" x14ac:dyDescent="0.2">
      <c r="A7" s="11">
        <v>6</v>
      </c>
      <c r="B7" s="14" t="s">
        <v>78</v>
      </c>
      <c r="C7" s="57"/>
      <c r="D7" s="71" t="s">
        <v>185</v>
      </c>
      <c r="E7" s="72" t="s">
        <v>185</v>
      </c>
      <c r="F7" s="60"/>
    </row>
    <row r="8" spans="1:7" ht="16" x14ac:dyDescent="0.2">
      <c r="A8" s="11">
        <v>7</v>
      </c>
      <c r="B8" s="14" t="s">
        <v>79</v>
      </c>
      <c r="C8" s="57"/>
      <c r="D8" s="19" t="s">
        <v>24</v>
      </c>
      <c r="E8" s="17" t="s">
        <v>24</v>
      </c>
      <c r="F8" s="60"/>
    </row>
    <row r="9" spans="1:7" ht="16" x14ac:dyDescent="0.2">
      <c r="A9" s="11">
        <v>8</v>
      </c>
      <c r="B9" s="14" t="s">
        <v>80</v>
      </c>
      <c r="C9" s="57"/>
      <c r="D9" s="71" t="s">
        <v>185</v>
      </c>
      <c r="E9" s="72" t="s">
        <v>185</v>
      </c>
      <c r="F9" s="60"/>
    </row>
    <row r="10" spans="1:7" ht="16" x14ac:dyDescent="0.2">
      <c r="A10" s="11">
        <v>9</v>
      </c>
      <c r="B10" s="14" t="s">
        <v>196</v>
      </c>
      <c r="C10" s="57"/>
      <c r="D10" s="71" t="s">
        <v>185</v>
      </c>
      <c r="E10" s="72" t="s">
        <v>185</v>
      </c>
      <c r="F10" s="60"/>
    </row>
    <row r="11" spans="1:7" ht="16" x14ac:dyDescent="0.2">
      <c r="A11" s="11">
        <v>10</v>
      </c>
      <c r="B11" s="14" t="s">
        <v>195</v>
      </c>
      <c r="C11" s="57"/>
      <c r="D11" s="71" t="s">
        <v>185</v>
      </c>
      <c r="E11" s="72" t="s">
        <v>185</v>
      </c>
      <c r="F11" s="60"/>
    </row>
    <row r="12" spans="1:7" ht="16" x14ac:dyDescent="0.2">
      <c r="A12" s="11">
        <v>11</v>
      </c>
      <c r="B12" s="14" t="s">
        <v>81</v>
      </c>
      <c r="C12" s="57"/>
      <c r="D12" s="71" t="s">
        <v>185</v>
      </c>
      <c r="E12" s="72" t="s">
        <v>185</v>
      </c>
      <c r="F12" s="60"/>
    </row>
    <row r="13" spans="1:7" ht="16" x14ac:dyDescent="0.2">
      <c r="A13" s="11">
        <v>12</v>
      </c>
      <c r="B13" s="14" t="s">
        <v>82</v>
      </c>
      <c r="C13" s="57"/>
      <c r="D13" s="71" t="s">
        <v>185</v>
      </c>
      <c r="E13" s="72" t="s">
        <v>185</v>
      </c>
      <c r="F13" s="60"/>
    </row>
    <row r="14" spans="1:7" ht="16" x14ac:dyDescent="0.2">
      <c r="A14" s="11">
        <v>13</v>
      </c>
      <c r="B14" s="14" t="s">
        <v>83</v>
      </c>
      <c r="C14" s="57"/>
      <c r="D14" s="71" t="s">
        <v>185</v>
      </c>
      <c r="E14" s="72" t="s">
        <v>185</v>
      </c>
      <c r="F14" s="60"/>
    </row>
    <row r="15" spans="1:7" ht="16" x14ac:dyDescent="0.2">
      <c r="A15" s="11">
        <v>14</v>
      </c>
      <c r="B15" s="14" t="s">
        <v>84</v>
      </c>
      <c r="C15" s="57"/>
      <c r="D15" s="19" t="s">
        <v>24</v>
      </c>
      <c r="E15" s="17" t="s">
        <v>24</v>
      </c>
      <c r="F15" s="60"/>
    </row>
    <row r="16" spans="1:7" ht="16" x14ac:dyDescent="0.2">
      <c r="A16" s="11">
        <v>15</v>
      </c>
      <c r="B16" s="14" t="s">
        <v>92</v>
      </c>
      <c r="C16" s="57"/>
      <c r="D16" s="19" t="s">
        <v>24</v>
      </c>
      <c r="E16" s="17" t="s">
        <v>24</v>
      </c>
      <c r="F16" s="60"/>
    </row>
    <row r="17" spans="1:6" ht="16" x14ac:dyDescent="0.2">
      <c r="A17" s="11">
        <v>16</v>
      </c>
      <c r="B17" s="14" t="s">
        <v>93</v>
      </c>
      <c r="C17" s="57"/>
      <c r="D17" s="71" t="s">
        <v>185</v>
      </c>
      <c r="E17" s="72" t="s">
        <v>185</v>
      </c>
      <c r="F17" s="60"/>
    </row>
    <row r="18" spans="1:6" ht="16" x14ac:dyDescent="0.2">
      <c r="A18" s="11">
        <v>17</v>
      </c>
      <c r="B18" s="14" t="s">
        <v>85</v>
      </c>
      <c r="C18" s="57"/>
      <c r="D18" s="71" t="s">
        <v>185</v>
      </c>
      <c r="E18" s="72" t="s">
        <v>185</v>
      </c>
      <c r="F18" s="60"/>
    </row>
    <row r="19" spans="1:6" ht="16" x14ac:dyDescent="0.2">
      <c r="A19" s="11">
        <v>18</v>
      </c>
      <c r="B19" s="14" t="s">
        <v>86</v>
      </c>
      <c r="C19" s="57"/>
      <c r="D19" s="71" t="s">
        <v>185</v>
      </c>
      <c r="E19" s="72" t="s">
        <v>185</v>
      </c>
      <c r="F19" s="60"/>
    </row>
    <row r="20" spans="1:6" ht="16" x14ac:dyDescent="0.2">
      <c r="A20" s="11">
        <v>19</v>
      </c>
      <c r="B20" s="14" t="s">
        <v>87</v>
      </c>
      <c r="C20" s="57"/>
      <c r="D20" s="19" t="s">
        <v>24</v>
      </c>
      <c r="E20" s="17" t="s">
        <v>24</v>
      </c>
      <c r="F20" s="60"/>
    </row>
    <row r="21" spans="1:6" ht="16" x14ac:dyDescent="0.2">
      <c r="A21" s="11">
        <v>20</v>
      </c>
      <c r="B21" s="14" t="s">
        <v>88</v>
      </c>
      <c r="C21" s="57"/>
      <c r="D21" s="71" t="s">
        <v>185</v>
      </c>
      <c r="E21" s="72" t="s">
        <v>185</v>
      </c>
      <c r="F21" s="60"/>
    </row>
    <row r="22" spans="1:6" ht="16" x14ac:dyDescent="0.2">
      <c r="A22" s="11">
        <v>21</v>
      </c>
      <c r="B22" s="14" t="s">
        <v>89</v>
      </c>
      <c r="C22" s="57"/>
      <c r="D22" s="19" t="s">
        <v>24</v>
      </c>
      <c r="E22" s="17" t="s">
        <v>24</v>
      </c>
      <c r="F22" s="60"/>
    </row>
    <row r="23" spans="1:6" ht="16" x14ac:dyDescent="0.2">
      <c r="A23" s="11">
        <v>22</v>
      </c>
      <c r="B23" s="14" t="s">
        <v>90</v>
      </c>
      <c r="C23" s="57"/>
      <c r="D23" s="19" t="s">
        <v>24</v>
      </c>
      <c r="E23" s="17" t="s">
        <v>24</v>
      </c>
      <c r="F23" s="60"/>
    </row>
    <row r="24" spans="1:6" ht="17" thickBot="1" x14ac:dyDescent="0.25">
      <c r="A24" s="12">
        <v>23</v>
      </c>
      <c r="B24" s="15" t="s">
        <v>91</v>
      </c>
      <c r="C24" s="58"/>
      <c r="D24" s="23" t="s">
        <v>24</v>
      </c>
      <c r="E24" s="22" t="s">
        <v>24</v>
      </c>
      <c r="F24" s="61"/>
    </row>
    <row r="25" spans="1:6" ht="17" thickBot="1" x14ac:dyDescent="0.25">
      <c r="B25" s="2" t="s">
        <v>23</v>
      </c>
      <c r="C25" s="25">
        <f>COUNTIF(C2:C24,"si")/$A$24</f>
        <v>0</v>
      </c>
      <c r="D25" s="25">
        <f>COUNTIF(D2:D24,"si")/$A$24</f>
        <v>0.65217391304347827</v>
      </c>
      <c r="E25" s="25">
        <f>COUNTIF(E2:E24,"si")/$A$24</f>
        <v>0.65217391304347827</v>
      </c>
      <c r="F25" s="25">
        <f>COUNTIF(F2:F24,"si")/$A$24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zoomScale="180" zoomScaleNormal="180" zoomScalePageLayoutView="130" workbookViewId="0">
      <selection activeCell="D12" sqref="D12:E12"/>
    </sheetView>
  </sheetViews>
  <sheetFormatPr baseColWidth="10" defaultRowHeight="15" x14ac:dyDescent="0.2"/>
  <cols>
    <col min="1" max="1" width="4" customWidth="1"/>
    <col min="2" max="2" width="91.5" bestFit="1" customWidth="1"/>
    <col min="4" max="4" width="12.6640625" bestFit="1" customWidth="1"/>
  </cols>
  <sheetData>
    <row r="1" spans="1:7" ht="16" thickBot="1" x14ac:dyDescent="0.25">
      <c r="B1" s="20" t="s">
        <v>22</v>
      </c>
      <c r="C1" s="20" t="s">
        <v>25</v>
      </c>
      <c r="D1" s="20" t="s">
        <v>26</v>
      </c>
      <c r="E1" s="20" t="s">
        <v>27</v>
      </c>
      <c r="F1" s="21" t="s">
        <v>28</v>
      </c>
    </row>
    <row r="2" spans="1:7" ht="16" x14ac:dyDescent="0.2">
      <c r="A2" s="10">
        <v>1</v>
      </c>
      <c r="B2" s="13" t="s">
        <v>94</v>
      </c>
      <c r="C2" s="56"/>
      <c r="D2" s="75" t="s">
        <v>185</v>
      </c>
      <c r="E2" s="76" t="s">
        <v>185</v>
      </c>
      <c r="F2" s="59"/>
    </row>
    <row r="3" spans="1:7" ht="16" x14ac:dyDescent="0.2">
      <c r="A3" s="11">
        <v>2</v>
      </c>
      <c r="B3" s="14" t="s">
        <v>95</v>
      </c>
      <c r="C3" s="57"/>
      <c r="D3" s="19" t="s">
        <v>24</v>
      </c>
      <c r="E3" s="17" t="s">
        <v>24</v>
      </c>
      <c r="F3" s="60"/>
    </row>
    <row r="4" spans="1:7" ht="16" x14ac:dyDescent="0.2">
      <c r="A4" s="11">
        <v>3</v>
      </c>
      <c r="B4" s="14" t="s">
        <v>96</v>
      </c>
      <c r="C4" s="57"/>
      <c r="D4" s="19" t="s">
        <v>24</v>
      </c>
      <c r="E4" s="17" t="s">
        <v>24</v>
      </c>
      <c r="F4" s="60"/>
    </row>
    <row r="5" spans="1:7" ht="16" x14ac:dyDescent="0.2">
      <c r="A5" s="11">
        <v>4</v>
      </c>
      <c r="B5" s="14" t="s">
        <v>97</v>
      </c>
      <c r="C5" s="57"/>
      <c r="D5" s="19" t="s">
        <v>24</v>
      </c>
      <c r="E5" s="17" t="s">
        <v>24</v>
      </c>
      <c r="F5" s="60"/>
    </row>
    <row r="6" spans="1:7" ht="16" x14ac:dyDescent="0.2">
      <c r="A6" s="11">
        <v>5</v>
      </c>
      <c r="B6" s="14" t="s">
        <v>98</v>
      </c>
      <c r="C6" s="57"/>
      <c r="D6" s="19" t="s">
        <v>24</v>
      </c>
      <c r="E6" s="17" t="s">
        <v>24</v>
      </c>
      <c r="F6" s="60"/>
    </row>
    <row r="7" spans="1:7" ht="16" x14ac:dyDescent="0.2">
      <c r="A7" s="11">
        <v>6</v>
      </c>
      <c r="B7" s="14" t="s">
        <v>200</v>
      </c>
      <c r="C7" s="57"/>
      <c r="D7" s="71" t="s">
        <v>185</v>
      </c>
      <c r="E7" s="72" t="s">
        <v>185</v>
      </c>
      <c r="F7" s="60"/>
    </row>
    <row r="8" spans="1:7" ht="16" x14ac:dyDescent="0.2">
      <c r="A8" s="11">
        <v>7</v>
      </c>
      <c r="B8" s="14" t="s">
        <v>99</v>
      </c>
      <c r="C8" s="57"/>
      <c r="D8" s="19" t="s">
        <v>24</v>
      </c>
      <c r="E8" s="17" t="s">
        <v>24</v>
      </c>
      <c r="F8" s="60"/>
    </row>
    <row r="9" spans="1:7" ht="16" x14ac:dyDescent="0.2">
      <c r="A9" s="11">
        <v>8</v>
      </c>
      <c r="B9" s="14" t="s">
        <v>100</v>
      </c>
      <c r="C9" s="57"/>
      <c r="D9" s="71" t="s">
        <v>185</v>
      </c>
      <c r="E9" s="72" t="s">
        <v>185</v>
      </c>
      <c r="F9" s="60"/>
    </row>
    <row r="10" spans="1:7" ht="16" x14ac:dyDescent="0.2">
      <c r="A10" s="11">
        <v>9</v>
      </c>
      <c r="B10" s="14" t="s">
        <v>201</v>
      </c>
      <c r="C10" s="57"/>
      <c r="D10" s="71" t="s">
        <v>185</v>
      </c>
      <c r="E10" s="72" t="s">
        <v>185</v>
      </c>
      <c r="F10" s="60"/>
    </row>
    <row r="11" spans="1:7" ht="16" x14ac:dyDescent="0.2">
      <c r="A11" s="11">
        <v>10</v>
      </c>
      <c r="B11" s="14" t="s">
        <v>101</v>
      </c>
      <c r="C11" s="57"/>
      <c r="D11" s="19" t="s">
        <v>24</v>
      </c>
      <c r="E11" s="17" t="s">
        <v>24</v>
      </c>
      <c r="F11" s="60"/>
    </row>
    <row r="12" spans="1:7" ht="16" x14ac:dyDescent="0.2">
      <c r="A12" s="11">
        <v>11</v>
      </c>
      <c r="B12" s="14" t="s">
        <v>102</v>
      </c>
      <c r="C12" s="57"/>
      <c r="D12" s="106" t="s">
        <v>24</v>
      </c>
      <c r="E12" s="107" t="s">
        <v>24</v>
      </c>
      <c r="F12" s="60"/>
      <c r="G12" t="s">
        <v>202</v>
      </c>
    </row>
    <row r="13" spans="1:7" ht="16" x14ac:dyDescent="0.2">
      <c r="A13" s="11">
        <v>12</v>
      </c>
      <c r="B13" s="14" t="s">
        <v>103</v>
      </c>
      <c r="C13" s="57"/>
      <c r="D13" s="71" t="s">
        <v>185</v>
      </c>
      <c r="E13" s="72" t="s">
        <v>185</v>
      </c>
      <c r="F13" s="60"/>
      <c r="G13" t="s">
        <v>189</v>
      </c>
    </row>
    <row r="14" spans="1:7" ht="16" x14ac:dyDescent="0.2">
      <c r="A14" s="11">
        <v>13</v>
      </c>
      <c r="B14" s="14" t="s">
        <v>104</v>
      </c>
      <c r="C14" s="57"/>
      <c r="D14" s="71" t="s">
        <v>185</v>
      </c>
      <c r="E14" s="72" t="s">
        <v>185</v>
      </c>
      <c r="F14" s="60"/>
    </row>
    <row r="15" spans="1:7" ht="16" x14ac:dyDescent="0.2">
      <c r="A15" s="11">
        <v>14</v>
      </c>
      <c r="B15" s="14" t="s">
        <v>105</v>
      </c>
      <c r="C15" s="57"/>
      <c r="D15" s="19" t="s">
        <v>24</v>
      </c>
      <c r="E15" s="17" t="s">
        <v>24</v>
      </c>
      <c r="F15" s="60"/>
    </row>
    <row r="16" spans="1:7" ht="16" x14ac:dyDescent="0.2">
      <c r="A16" s="11">
        <v>15</v>
      </c>
      <c r="B16" s="14" t="s">
        <v>106</v>
      </c>
      <c r="C16" s="57"/>
      <c r="D16" s="19" t="s">
        <v>24</v>
      </c>
      <c r="E16" s="17" t="s">
        <v>24</v>
      </c>
      <c r="F16" s="60"/>
    </row>
    <row r="17" spans="1:7" ht="16" x14ac:dyDescent="0.2">
      <c r="A17" s="11">
        <v>16</v>
      </c>
      <c r="B17" s="14" t="s">
        <v>107</v>
      </c>
      <c r="C17" s="57"/>
      <c r="D17" s="71" t="s">
        <v>185</v>
      </c>
      <c r="E17" s="72" t="s">
        <v>185</v>
      </c>
      <c r="F17" s="60"/>
    </row>
    <row r="18" spans="1:7" ht="16" x14ac:dyDescent="0.2">
      <c r="A18" s="11">
        <v>17</v>
      </c>
      <c r="B18" s="14" t="s">
        <v>203</v>
      </c>
      <c r="C18" s="57"/>
      <c r="D18" s="71" t="s">
        <v>185</v>
      </c>
      <c r="E18" s="72" t="s">
        <v>185</v>
      </c>
      <c r="F18" s="60"/>
    </row>
    <row r="19" spans="1:7" ht="16" x14ac:dyDescent="0.2">
      <c r="A19" s="11">
        <v>18</v>
      </c>
      <c r="B19" s="14" t="s">
        <v>108</v>
      </c>
      <c r="C19" s="57"/>
      <c r="D19" s="19" t="s">
        <v>24</v>
      </c>
      <c r="E19" s="17" t="s">
        <v>24</v>
      </c>
      <c r="F19" s="60"/>
    </row>
    <row r="20" spans="1:7" ht="16" x14ac:dyDescent="0.2">
      <c r="A20" s="11">
        <v>19</v>
      </c>
      <c r="B20" s="14" t="s">
        <v>109</v>
      </c>
      <c r="C20" s="57"/>
      <c r="D20" s="19" t="s">
        <v>24</v>
      </c>
      <c r="E20" s="17" t="s">
        <v>24</v>
      </c>
      <c r="F20" s="60"/>
    </row>
    <row r="21" spans="1:7" ht="16" x14ac:dyDescent="0.2">
      <c r="A21" s="11">
        <v>20</v>
      </c>
      <c r="B21" s="14" t="s">
        <v>204</v>
      </c>
      <c r="C21" s="57"/>
      <c r="D21" s="71" t="s">
        <v>185</v>
      </c>
      <c r="E21" s="72" t="s">
        <v>185</v>
      </c>
      <c r="F21" s="60"/>
      <c r="G21" t="s">
        <v>205</v>
      </c>
    </row>
    <row r="22" spans="1:7" ht="16" x14ac:dyDescent="0.2">
      <c r="A22" s="11">
        <v>21</v>
      </c>
      <c r="B22" s="14" t="s">
        <v>110</v>
      </c>
      <c r="C22" s="57"/>
      <c r="D22" s="19" t="s">
        <v>24</v>
      </c>
      <c r="E22" s="17" t="s">
        <v>24</v>
      </c>
      <c r="F22" s="60"/>
    </row>
    <row r="23" spans="1:7" ht="16" x14ac:dyDescent="0.2">
      <c r="A23" s="11">
        <v>22</v>
      </c>
      <c r="B23" s="14" t="s">
        <v>111</v>
      </c>
      <c r="C23" s="57"/>
      <c r="D23" s="19" t="s">
        <v>24</v>
      </c>
      <c r="E23" s="17" t="s">
        <v>24</v>
      </c>
      <c r="F23" s="60"/>
    </row>
    <row r="24" spans="1:7" ht="17" thickBot="1" x14ac:dyDescent="0.25">
      <c r="A24" s="12">
        <v>23</v>
      </c>
      <c r="B24" s="15" t="s">
        <v>112</v>
      </c>
      <c r="C24" s="58"/>
      <c r="D24" s="23" t="s">
        <v>24</v>
      </c>
      <c r="E24" s="22" t="s">
        <v>24</v>
      </c>
      <c r="F24" s="61"/>
    </row>
    <row r="25" spans="1:7" ht="17" thickBot="1" x14ac:dyDescent="0.25">
      <c r="B25" s="2" t="s">
        <v>23</v>
      </c>
      <c r="C25" s="24">
        <f>COUNTIF(C2:C24,"si")/$A$24</f>
        <v>0</v>
      </c>
      <c r="D25" s="25">
        <f>COUNTIF(D2:D24,"si")/$A$24</f>
        <v>0.39130434782608697</v>
      </c>
      <c r="E25" s="25">
        <f>COUNTIF(E2:E24,"si")/$A$24</f>
        <v>0.39130434782608697</v>
      </c>
      <c r="F25" s="26">
        <f>COUNTIF(F2:F24,"si")/$A$24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zoomScale="170" zoomScaleNormal="170" zoomScalePageLayoutView="130" workbookViewId="0">
      <selection activeCell="G12" sqref="G12"/>
    </sheetView>
  </sheetViews>
  <sheetFormatPr baseColWidth="10" defaultRowHeight="15" x14ac:dyDescent="0.2"/>
  <cols>
    <col min="2" max="2" width="91.5" bestFit="1" customWidth="1"/>
    <col min="4" max="4" width="12.6640625" bestFit="1" customWidth="1"/>
  </cols>
  <sheetData>
    <row r="1" spans="1:7" ht="16" thickBot="1" x14ac:dyDescent="0.25">
      <c r="B1" s="20" t="s">
        <v>22</v>
      </c>
      <c r="C1" s="20" t="s">
        <v>25</v>
      </c>
      <c r="D1" s="80" t="s">
        <v>26</v>
      </c>
      <c r="E1" s="80" t="s">
        <v>27</v>
      </c>
      <c r="F1" s="21" t="s">
        <v>28</v>
      </c>
    </row>
    <row r="2" spans="1:7" ht="16" x14ac:dyDescent="0.2">
      <c r="A2" s="10">
        <v>1</v>
      </c>
      <c r="B2" s="13" t="s">
        <v>113</v>
      </c>
      <c r="C2" s="56"/>
      <c r="D2" s="82" t="s">
        <v>24</v>
      </c>
      <c r="E2" s="82" t="s">
        <v>24</v>
      </c>
      <c r="F2" s="77"/>
    </row>
    <row r="3" spans="1:7" ht="16" x14ac:dyDescent="0.2">
      <c r="A3" s="11">
        <v>2</v>
      </c>
      <c r="B3" s="14" t="s">
        <v>194</v>
      </c>
      <c r="C3" s="57"/>
      <c r="D3" s="83" t="s">
        <v>185</v>
      </c>
      <c r="E3" s="83" t="s">
        <v>185</v>
      </c>
      <c r="F3" s="78"/>
    </row>
    <row r="4" spans="1:7" ht="16" x14ac:dyDescent="0.2">
      <c r="A4" s="11">
        <v>3</v>
      </c>
      <c r="B4" s="14" t="s">
        <v>114</v>
      </c>
      <c r="C4" s="57"/>
      <c r="D4" s="82" t="s">
        <v>24</v>
      </c>
      <c r="E4" s="82" t="s">
        <v>24</v>
      </c>
      <c r="F4" s="78"/>
    </row>
    <row r="5" spans="1:7" ht="16" x14ac:dyDescent="0.2">
      <c r="A5" s="11">
        <v>4</v>
      </c>
      <c r="B5" s="14" t="s">
        <v>115</v>
      </c>
      <c r="C5" s="57"/>
      <c r="D5" s="83" t="s">
        <v>185</v>
      </c>
      <c r="E5" s="83" t="s">
        <v>185</v>
      </c>
      <c r="F5" s="78"/>
    </row>
    <row r="6" spans="1:7" ht="16" x14ac:dyDescent="0.2">
      <c r="A6" s="11">
        <v>5</v>
      </c>
      <c r="B6" s="14" t="s">
        <v>116</v>
      </c>
      <c r="C6" s="57"/>
      <c r="D6" s="82" t="s">
        <v>24</v>
      </c>
      <c r="E6" s="82" t="s">
        <v>24</v>
      </c>
      <c r="F6" s="78"/>
    </row>
    <row r="7" spans="1:7" ht="16" x14ac:dyDescent="0.2">
      <c r="A7" s="11">
        <v>6</v>
      </c>
      <c r="B7" s="14" t="s">
        <v>117</v>
      </c>
      <c r="C7" s="57"/>
      <c r="D7" s="83" t="s">
        <v>185</v>
      </c>
      <c r="E7" s="83" t="s">
        <v>185</v>
      </c>
      <c r="F7" s="78"/>
    </row>
    <row r="8" spans="1:7" ht="16" x14ac:dyDescent="0.2">
      <c r="A8" s="11">
        <v>7</v>
      </c>
      <c r="B8" s="14" t="s">
        <v>118</v>
      </c>
      <c r="C8" s="57"/>
      <c r="D8" s="83" t="s">
        <v>185</v>
      </c>
      <c r="E8" s="83" t="s">
        <v>185</v>
      </c>
      <c r="F8" s="78"/>
    </row>
    <row r="9" spans="1:7" ht="16" x14ac:dyDescent="0.2">
      <c r="A9" s="11">
        <v>8</v>
      </c>
      <c r="B9" s="14" t="s">
        <v>206</v>
      </c>
      <c r="C9" s="57"/>
      <c r="D9" s="83" t="s">
        <v>185</v>
      </c>
      <c r="E9" s="83" t="s">
        <v>185</v>
      </c>
      <c r="F9" s="78"/>
    </row>
    <row r="10" spans="1:7" ht="16" x14ac:dyDescent="0.2">
      <c r="A10" s="11">
        <v>9</v>
      </c>
      <c r="B10" s="14" t="s">
        <v>119</v>
      </c>
      <c r="C10" s="57"/>
      <c r="D10" s="82" t="s">
        <v>24</v>
      </c>
      <c r="E10" s="82" t="s">
        <v>24</v>
      </c>
      <c r="F10" s="78"/>
    </row>
    <row r="11" spans="1:7" ht="16" x14ac:dyDescent="0.2">
      <c r="A11" s="11">
        <v>10</v>
      </c>
      <c r="B11" s="14" t="s">
        <v>120</v>
      </c>
      <c r="C11" s="57"/>
      <c r="D11" s="82" t="s">
        <v>24</v>
      </c>
      <c r="E11" s="82" t="s">
        <v>24</v>
      </c>
      <c r="F11" s="78"/>
    </row>
    <row r="12" spans="1:7" ht="16" x14ac:dyDescent="0.2">
      <c r="A12" s="11">
        <v>11</v>
      </c>
      <c r="B12" s="14" t="s">
        <v>121</v>
      </c>
      <c r="C12" s="57"/>
      <c r="D12" s="83" t="s">
        <v>185</v>
      </c>
      <c r="E12" s="83" t="s">
        <v>185</v>
      </c>
      <c r="F12" s="78"/>
    </row>
    <row r="13" spans="1:7" ht="16" x14ac:dyDescent="0.2">
      <c r="A13" s="11">
        <v>12</v>
      </c>
      <c r="B13" s="14" t="s">
        <v>122</v>
      </c>
      <c r="C13" s="57"/>
      <c r="D13" s="83" t="s">
        <v>185</v>
      </c>
      <c r="E13" s="83" t="s">
        <v>185</v>
      </c>
      <c r="F13" s="78"/>
    </row>
    <row r="14" spans="1:7" ht="16" x14ac:dyDescent="0.2">
      <c r="A14" s="11">
        <v>13</v>
      </c>
      <c r="B14" s="14" t="s">
        <v>123</v>
      </c>
      <c r="C14" s="57"/>
      <c r="D14" s="83" t="s">
        <v>185</v>
      </c>
      <c r="E14" s="83" t="s">
        <v>185</v>
      </c>
      <c r="F14" s="78"/>
    </row>
    <row r="15" spans="1:7" ht="16" x14ac:dyDescent="0.2">
      <c r="A15" s="11">
        <v>14</v>
      </c>
      <c r="B15" s="14" t="s">
        <v>124</v>
      </c>
      <c r="C15" s="57"/>
      <c r="D15" s="82" t="s">
        <v>24</v>
      </c>
      <c r="E15" s="82" t="s">
        <v>24</v>
      </c>
      <c r="F15" s="78"/>
    </row>
    <row r="16" spans="1:7" ht="16" x14ac:dyDescent="0.2">
      <c r="A16" s="11">
        <v>15</v>
      </c>
      <c r="B16" s="14" t="s">
        <v>207</v>
      </c>
      <c r="C16" s="57"/>
      <c r="D16" s="83" t="s">
        <v>185</v>
      </c>
      <c r="E16" s="83" t="s">
        <v>185</v>
      </c>
      <c r="F16" s="78"/>
      <c r="G16" t="s">
        <v>208</v>
      </c>
    </row>
    <row r="17" spans="1:6" ht="16" x14ac:dyDescent="0.2">
      <c r="A17" s="11">
        <v>16</v>
      </c>
      <c r="B17" s="14" t="s">
        <v>125</v>
      </c>
      <c r="C17" s="57"/>
      <c r="D17" s="83" t="s">
        <v>185</v>
      </c>
      <c r="E17" s="83" t="s">
        <v>185</v>
      </c>
      <c r="F17" s="78"/>
    </row>
    <row r="18" spans="1:6" ht="16" x14ac:dyDescent="0.2">
      <c r="A18" s="11">
        <v>17</v>
      </c>
      <c r="B18" s="14" t="s">
        <v>126</v>
      </c>
      <c r="C18" s="57"/>
      <c r="D18" s="82" t="s">
        <v>24</v>
      </c>
      <c r="E18" s="82" t="s">
        <v>24</v>
      </c>
      <c r="F18" s="78"/>
    </row>
    <row r="19" spans="1:6" ht="16" x14ac:dyDescent="0.2">
      <c r="A19" s="11">
        <v>18</v>
      </c>
      <c r="B19" s="14" t="s">
        <v>127</v>
      </c>
      <c r="C19" s="57"/>
      <c r="D19" s="82" t="s">
        <v>24</v>
      </c>
      <c r="E19" s="82" t="s">
        <v>24</v>
      </c>
      <c r="F19" s="78"/>
    </row>
    <row r="20" spans="1:6" ht="16" x14ac:dyDescent="0.2">
      <c r="A20" s="11">
        <v>19</v>
      </c>
      <c r="B20" s="14" t="s">
        <v>128</v>
      </c>
      <c r="C20" s="57"/>
      <c r="D20" s="83" t="s">
        <v>185</v>
      </c>
      <c r="E20" s="83" t="s">
        <v>185</v>
      </c>
      <c r="F20" s="78"/>
    </row>
    <row r="21" spans="1:6" ht="17" thickBot="1" x14ac:dyDescent="0.25">
      <c r="A21" s="12">
        <v>20</v>
      </c>
      <c r="B21" s="15" t="s">
        <v>129</v>
      </c>
      <c r="C21" s="58"/>
      <c r="D21" s="84" t="s">
        <v>185</v>
      </c>
      <c r="E21" s="84" t="s">
        <v>185</v>
      </c>
      <c r="F21" s="79"/>
    </row>
    <row r="22" spans="1:6" ht="17" thickBot="1" x14ac:dyDescent="0.25">
      <c r="B22" s="2" t="s">
        <v>23</v>
      </c>
      <c r="C22" s="24">
        <f>COUNTIF(C2:C21,"si")/$A$21</f>
        <v>0</v>
      </c>
      <c r="D22" s="81">
        <f>COUNTIF(D2:D21,"si")/$A$21</f>
        <v>0.6</v>
      </c>
      <c r="E22" s="81">
        <f>COUNTIF(E2:E21,"si")/$A$21</f>
        <v>0.6</v>
      </c>
      <c r="F22" s="24">
        <f t="shared" ref="F22" si="0">COUNTIF(F2:F21,"si")/$A$21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4"/>
  <sheetViews>
    <sheetView zoomScale="150" zoomScaleNormal="150" zoomScalePageLayoutView="130" workbookViewId="0">
      <selection activeCell="A9" sqref="A9:XFD10"/>
    </sheetView>
  </sheetViews>
  <sheetFormatPr baseColWidth="10" defaultRowHeight="15" x14ac:dyDescent="0.2"/>
  <cols>
    <col min="1" max="1" width="4.33203125" customWidth="1"/>
    <col min="2" max="2" width="99.5" bestFit="1" customWidth="1"/>
    <col min="4" max="4" width="12.6640625" bestFit="1" customWidth="1"/>
  </cols>
  <sheetData>
    <row r="1" spans="1:7" ht="16" thickBot="1" x14ac:dyDescent="0.25">
      <c r="B1" s="20" t="s">
        <v>22</v>
      </c>
      <c r="C1" s="20" t="s">
        <v>25</v>
      </c>
      <c r="D1" s="20" t="s">
        <v>26</v>
      </c>
      <c r="E1" s="20" t="s">
        <v>27</v>
      </c>
      <c r="F1" s="21" t="s">
        <v>28</v>
      </c>
    </row>
    <row r="2" spans="1:7" ht="16" x14ac:dyDescent="0.2">
      <c r="A2" s="10">
        <v>1</v>
      </c>
      <c r="B2" s="13" t="s">
        <v>136</v>
      </c>
      <c r="C2" s="16"/>
      <c r="D2" s="18" t="s">
        <v>24</v>
      </c>
      <c r="E2" s="16" t="s">
        <v>24</v>
      </c>
      <c r="F2" s="18"/>
    </row>
    <row r="3" spans="1:7" ht="16" x14ac:dyDescent="0.2">
      <c r="A3" s="62">
        <v>2</v>
      </c>
      <c r="B3" s="63" t="s">
        <v>137</v>
      </c>
      <c r="C3" s="64"/>
      <c r="D3" s="65" t="s">
        <v>24</v>
      </c>
      <c r="E3" s="64" t="s">
        <v>24</v>
      </c>
      <c r="F3" s="65"/>
    </row>
    <row r="4" spans="1:7" ht="16" x14ac:dyDescent="0.2">
      <c r="A4" s="11">
        <v>3</v>
      </c>
      <c r="B4" s="14" t="s">
        <v>138</v>
      </c>
      <c r="C4" s="17"/>
      <c r="D4" s="19" t="s">
        <v>24</v>
      </c>
      <c r="E4" s="17" t="s">
        <v>24</v>
      </c>
      <c r="F4" s="19"/>
    </row>
    <row r="5" spans="1:7" ht="16" x14ac:dyDescent="0.2">
      <c r="A5" s="62">
        <v>4</v>
      </c>
      <c r="B5" s="14" t="s">
        <v>139</v>
      </c>
      <c r="C5" s="17"/>
      <c r="D5" s="71" t="s">
        <v>185</v>
      </c>
      <c r="E5" s="72" t="s">
        <v>185</v>
      </c>
      <c r="F5" s="19"/>
      <c r="G5" t="s">
        <v>192</v>
      </c>
    </row>
    <row r="6" spans="1:7" ht="16" x14ac:dyDescent="0.2">
      <c r="A6" s="11">
        <v>5</v>
      </c>
      <c r="B6" s="14" t="s">
        <v>140</v>
      </c>
      <c r="C6" s="17"/>
      <c r="D6" s="19" t="s">
        <v>24</v>
      </c>
      <c r="E6" s="17" t="s">
        <v>24</v>
      </c>
      <c r="F6" s="19"/>
    </row>
    <row r="7" spans="1:7" ht="16" x14ac:dyDescent="0.2">
      <c r="A7" s="62">
        <v>6</v>
      </c>
      <c r="B7" s="14" t="s">
        <v>141</v>
      </c>
      <c r="C7" s="17"/>
      <c r="D7" s="19" t="s">
        <v>24</v>
      </c>
      <c r="E7" s="17" t="s">
        <v>24</v>
      </c>
      <c r="F7" s="19"/>
    </row>
    <row r="8" spans="1:7" ht="16" x14ac:dyDescent="0.2">
      <c r="A8" s="11">
        <v>7</v>
      </c>
      <c r="B8" s="14" t="s">
        <v>142</v>
      </c>
      <c r="C8" s="17"/>
      <c r="D8" s="71" t="s">
        <v>185</v>
      </c>
      <c r="E8" s="71" t="s">
        <v>185</v>
      </c>
      <c r="F8" s="19"/>
    </row>
    <row r="9" spans="1:7" ht="16" x14ac:dyDescent="0.2">
      <c r="A9" s="62">
        <v>8</v>
      </c>
      <c r="B9" s="14" t="s">
        <v>143</v>
      </c>
      <c r="C9" s="17"/>
      <c r="D9" s="71" t="s">
        <v>185</v>
      </c>
      <c r="E9" s="71" t="s">
        <v>185</v>
      </c>
      <c r="F9" s="19"/>
      <c r="G9" t="s">
        <v>131</v>
      </c>
    </row>
    <row r="10" spans="1:7" ht="16" x14ac:dyDescent="0.2">
      <c r="A10" s="11">
        <v>9</v>
      </c>
      <c r="B10" s="14" t="s">
        <v>144</v>
      </c>
      <c r="C10" s="17"/>
      <c r="D10" s="71" t="s">
        <v>185</v>
      </c>
      <c r="E10" s="71" t="s">
        <v>185</v>
      </c>
      <c r="F10" s="19"/>
      <c r="G10" t="s">
        <v>131</v>
      </c>
    </row>
    <row r="11" spans="1:7" ht="16" x14ac:dyDescent="0.2">
      <c r="A11" s="62">
        <v>10</v>
      </c>
      <c r="B11" s="14" t="s">
        <v>145</v>
      </c>
      <c r="C11" s="17"/>
      <c r="D11" s="19" t="s">
        <v>24</v>
      </c>
      <c r="E11" s="17" t="s">
        <v>24</v>
      </c>
      <c r="F11" s="19"/>
    </row>
    <row r="12" spans="1:7" ht="16" x14ac:dyDescent="0.2">
      <c r="A12" s="11">
        <v>11</v>
      </c>
      <c r="B12" s="14" t="s">
        <v>146</v>
      </c>
      <c r="C12" s="17"/>
      <c r="D12" s="71" t="s">
        <v>185</v>
      </c>
      <c r="E12" s="71" t="s">
        <v>185</v>
      </c>
      <c r="F12" s="19"/>
    </row>
    <row r="13" spans="1:7" ht="16" x14ac:dyDescent="0.2">
      <c r="A13" s="62">
        <v>12</v>
      </c>
      <c r="B13" s="14" t="s">
        <v>147</v>
      </c>
      <c r="C13" s="17"/>
      <c r="D13" s="19" t="s">
        <v>24</v>
      </c>
      <c r="E13" s="17" t="s">
        <v>24</v>
      </c>
      <c r="F13" s="19"/>
    </row>
    <row r="14" spans="1:7" ht="16" x14ac:dyDescent="0.2">
      <c r="A14" s="11">
        <v>13</v>
      </c>
      <c r="B14" s="14" t="s">
        <v>193</v>
      </c>
      <c r="C14" s="17"/>
      <c r="D14" s="71" t="s">
        <v>185</v>
      </c>
      <c r="E14" s="71" t="s">
        <v>185</v>
      </c>
      <c r="F14" s="19"/>
    </row>
    <row r="15" spans="1:7" ht="16" x14ac:dyDescent="0.2">
      <c r="A15" s="62">
        <v>14</v>
      </c>
      <c r="B15" s="14" t="s">
        <v>148</v>
      </c>
      <c r="C15" s="17"/>
      <c r="D15" s="19" t="s">
        <v>24</v>
      </c>
      <c r="E15" s="17" t="s">
        <v>24</v>
      </c>
      <c r="F15" s="19"/>
    </row>
    <row r="16" spans="1:7" ht="16" x14ac:dyDescent="0.2">
      <c r="A16" s="11">
        <v>15</v>
      </c>
      <c r="B16" s="14" t="s">
        <v>149</v>
      </c>
      <c r="C16" s="17"/>
      <c r="D16" s="71" t="s">
        <v>185</v>
      </c>
      <c r="E16" s="71" t="s">
        <v>185</v>
      </c>
      <c r="F16" s="19"/>
    </row>
    <row r="17" spans="1:6" ht="16" x14ac:dyDescent="0.2">
      <c r="A17" s="62">
        <v>16</v>
      </c>
      <c r="B17" s="14" t="s">
        <v>150</v>
      </c>
      <c r="C17" s="17"/>
      <c r="D17" s="19" t="s">
        <v>24</v>
      </c>
      <c r="E17" s="17" t="s">
        <v>24</v>
      </c>
      <c r="F17" s="19"/>
    </row>
    <row r="18" spans="1:6" ht="16" x14ac:dyDescent="0.2">
      <c r="A18" s="11">
        <v>17</v>
      </c>
      <c r="B18" s="14" t="s">
        <v>151</v>
      </c>
      <c r="C18" s="17"/>
      <c r="D18" s="19" t="s">
        <v>24</v>
      </c>
      <c r="E18" s="17" t="s">
        <v>24</v>
      </c>
      <c r="F18" s="19"/>
    </row>
    <row r="19" spans="1:6" ht="16" x14ac:dyDescent="0.2">
      <c r="A19" s="62">
        <v>18</v>
      </c>
      <c r="B19" s="14" t="s">
        <v>152</v>
      </c>
      <c r="C19" s="17"/>
      <c r="D19" s="19" t="s">
        <v>24</v>
      </c>
      <c r="E19" s="17" t="s">
        <v>24</v>
      </c>
      <c r="F19" s="19"/>
    </row>
    <row r="20" spans="1:6" ht="16" x14ac:dyDescent="0.2">
      <c r="A20" s="11">
        <v>19</v>
      </c>
      <c r="B20" s="14" t="s">
        <v>153</v>
      </c>
      <c r="C20" s="17"/>
      <c r="D20" s="19" t="s">
        <v>24</v>
      </c>
      <c r="E20" s="17" t="s">
        <v>24</v>
      </c>
      <c r="F20" s="19"/>
    </row>
    <row r="21" spans="1:6" ht="16" x14ac:dyDescent="0.2">
      <c r="A21" s="62">
        <v>20</v>
      </c>
      <c r="B21" s="14" t="s">
        <v>154</v>
      </c>
      <c r="C21" s="17"/>
      <c r="D21" s="19" t="s">
        <v>24</v>
      </c>
      <c r="E21" s="17" t="s">
        <v>24</v>
      </c>
      <c r="F21" s="19"/>
    </row>
    <row r="22" spans="1:6" ht="16" x14ac:dyDescent="0.2">
      <c r="A22" s="11">
        <v>21</v>
      </c>
      <c r="B22" s="14" t="s">
        <v>155</v>
      </c>
      <c r="C22" s="17"/>
      <c r="D22" s="71" t="s">
        <v>185</v>
      </c>
      <c r="E22" s="71" t="s">
        <v>185</v>
      </c>
      <c r="F22" s="19"/>
    </row>
    <row r="23" spans="1:6" ht="34" x14ac:dyDescent="0.2">
      <c r="A23" s="62">
        <v>22</v>
      </c>
      <c r="B23" s="66" t="s">
        <v>162</v>
      </c>
      <c r="C23" s="17"/>
      <c r="D23" s="19" t="s">
        <v>24</v>
      </c>
      <c r="E23" s="17" t="s">
        <v>24</v>
      </c>
      <c r="F23" s="19"/>
    </row>
    <row r="24" spans="1:6" ht="16" x14ac:dyDescent="0.2">
      <c r="A24" s="11">
        <v>23</v>
      </c>
      <c r="B24" s="14" t="s">
        <v>156</v>
      </c>
      <c r="C24" s="17"/>
      <c r="D24" s="19" t="s">
        <v>24</v>
      </c>
      <c r="E24" s="17" t="s">
        <v>24</v>
      </c>
      <c r="F24" s="19"/>
    </row>
    <row r="25" spans="1:6" ht="16" x14ac:dyDescent="0.2">
      <c r="A25" s="62">
        <v>24</v>
      </c>
      <c r="B25" s="14" t="s">
        <v>157</v>
      </c>
      <c r="C25" s="17"/>
      <c r="D25" s="71" t="s">
        <v>185</v>
      </c>
      <c r="E25" s="71" t="s">
        <v>185</v>
      </c>
      <c r="F25" s="19"/>
    </row>
    <row r="26" spans="1:6" ht="16" x14ac:dyDescent="0.2">
      <c r="A26" s="11">
        <v>25</v>
      </c>
      <c r="B26" s="14" t="s">
        <v>158</v>
      </c>
      <c r="C26" s="17"/>
      <c r="D26" s="19" t="s">
        <v>24</v>
      </c>
      <c r="E26" s="17" t="s">
        <v>24</v>
      </c>
      <c r="F26" s="19"/>
    </row>
    <row r="27" spans="1:6" ht="16" x14ac:dyDescent="0.2">
      <c r="A27" s="62">
        <v>26</v>
      </c>
      <c r="B27" s="14" t="s">
        <v>159</v>
      </c>
      <c r="C27" s="17"/>
      <c r="D27" s="19" t="s">
        <v>24</v>
      </c>
      <c r="E27" s="17" t="s">
        <v>24</v>
      </c>
      <c r="F27" s="19"/>
    </row>
    <row r="28" spans="1:6" ht="16" x14ac:dyDescent="0.2">
      <c r="A28" s="11">
        <v>27</v>
      </c>
      <c r="B28" s="14" t="s">
        <v>160</v>
      </c>
      <c r="C28" s="17"/>
      <c r="D28" s="71" t="s">
        <v>185</v>
      </c>
      <c r="E28" s="71" t="s">
        <v>185</v>
      </c>
      <c r="F28" s="19"/>
    </row>
    <row r="29" spans="1:6" ht="17" thickBot="1" x14ac:dyDescent="0.25">
      <c r="A29" s="12">
        <v>28</v>
      </c>
      <c r="B29" s="15" t="s">
        <v>161</v>
      </c>
      <c r="C29" s="22"/>
      <c r="D29" s="71" t="s">
        <v>185</v>
      </c>
      <c r="E29" s="71" t="s">
        <v>185</v>
      </c>
      <c r="F29" s="23"/>
    </row>
    <row r="30" spans="1:6" ht="17" thickBot="1" x14ac:dyDescent="0.25">
      <c r="B30" s="2" t="s">
        <v>23</v>
      </c>
      <c r="C30" s="24">
        <f>COUNTIF(C2:C29,"si")/$A$29</f>
        <v>0</v>
      </c>
      <c r="D30" s="25">
        <f>COUNTIF(D2:D29,"si")/$A$29</f>
        <v>0.39285714285714285</v>
      </c>
      <c r="E30" s="25">
        <f>COUNTIF(E2:E29,"si")/$A$29</f>
        <v>0.39285714285714285</v>
      </c>
      <c r="F30" s="26">
        <f>COUNTIF(F2:F29,"si")/$A$29</f>
        <v>0</v>
      </c>
    </row>
    <row r="32" spans="1:6" x14ac:dyDescent="0.2">
      <c r="C32" s="1"/>
      <c r="D32" s="1"/>
      <c r="E32" s="1"/>
      <c r="F32" s="1"/>
    </row>
    <row r="33" spans="3:6" x14ac:dyDescent="0.2">
      <c r="C33" s="1"/>
      <c r="D33" s="1"/>
      <c r="E33" s="1"/>
      <c r="F33" s="1"/>
    </row>
    <row r="34" spans="3:6" x14ac:dyDescent="0.2">
      <c r="D34" s="1"/>
      <c r="E3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4"/>
  <sheetViews>
    <sheetView zoomScale="190" zoomScaleNormal="190" zoomScalePageLayoutView="120" workbookViewId="0">
      <selection activeCell="N16" sqref="N16:N21"/>
    </sheetView>
  </sheetViews>
  <sheetFormatPr baseColWidth="10" defaultRowHeight="15" x14ac:dyDescent="0.2"/>
  <cols>
    <col min="1" max="1" width="6" customWidth="1"/>
    <col min="2" max="2" width="13" customWidth="1"/>
    <col min="3" max="4" width="0" hidden="1" customWidth="1"/>
    <col min="5" max="5" width="16.5" bestFit="1" customWidth="1"/>
    <col min="6" max="6" width="12.6640625" customWidth="1"/>
    <col min="7" max="7" width="16.5" bestFit="1" customWidth="1"/>
    <col min="9" max="10" width="0" hidden="1" customWidth="1"/>
  </cols>
  <sheetData>
    <row r="1" spans="1:13" ht="16" thickBot="1" x14ac:dyDescent="0.25">
      <c r="A1" s="1"/>
      <c r="B1" s="5" t="s">
        <v>163</v>
      </c>
      <c r="C1" s="30" t="s">
        <v>25</v>
      </c>
      <c r="D1" s="31" t="s">
        <v>164</v>
      </c>
      <c r="E1" s="30" t="s">
        <v>26</v>
      </c>
      <c r="F1" s="31" t="s">
        <v>164</v>
      </c>
      <c r="G1" s="30" t="s">
        <v>27</v>
      </c>
      <c r="H1" s="31" t="s">
        <v>164</v>
      </c>
      <c r="I1" s="30" t="s">
        <v>28</v>
      </c>
      <c r="J1" s="31" t="s">
        <v>164</v>
      </c>
      <c r="L1" s="121" t="s">
        <v>176</v>
      </c>
      <c r="M1" s="122"/>
    </row>
    <row r="2" spans="1:13" ht="16" x14ac:dyDescent="0.2">
      <c r="A2" s="10">
        <v>1</v>
      </c>
      <c r="B2" s="126" t="s">
        <v>130</v>
      </c>
      <c r="C2" s="123">
        <f>Solitario!C25</f>
        <v>0</v>
      </c>
      <c r="D2" s="29" t="e">
        <f>C2/$C$9</f>
        <v>#DIV/0!</v>
      </c>
      <c r="E2" s="32">
        <f>Solitario!D25</f>
        <v>0.17391304347826086</v>
      </c>
      <c r="F2" s="33">
        <f>E2/$E$9</f>
        <v>4.7946325023155892E-2</v>
      </c>
      <c r="G2" s="34">
        <f>Solitario!E25</f>
        <v>0.17391304347826086</v>
      </c>
      <c r="H2" s="33">
        <f>G2/$G$9</f>
        <v>4.7946325023155892E-2</v>
      </c>
      <c r="I2" s="6">
        <f>Solitario!F25</f>
        <v>0</v>
      </c>
      <c r="J2" s="7" t="e">
        <f>I2/$I$9</f>
        <v>#DIV/0!</v>
      </c>
      <c r="L2" s="52" t="s">
        <v>165</v>
      </c>
      <c r="M2" s="54">
        <v>1</v>
      </c>
    </row>
    <row r="3" spans="1:13" ht="16" x14ac:dyDescent="0.2">
      <c r="A3" s="11">
        <v>2</v>
      </c>
      <c r="B3" s="126" t="s">
        <v>30</v>
      </c>
      <c r="C3" s="124">
        <f>Sensitivo!C24</f>
        <v>0</v>
      </c>
      <c r="D3" s="9" t="e">
        <f t="shared" ref="D3:D8" si="0">C3/$C$9</f>
        <v>#DIV/0!</v>
      </c>
      <c r="E3" s="35">
        <f>Sensitivo!D24</f>
        <v>0.59090909090909094</v>
      </c>
      <c r="F3" s="36">
        <f t="shared" ref="D3:F9" si="1">E3/$E$9</f>
        <v>0.16290853615822287</v>
      </c>
      <c r="G3" s="37">
        <f>Sensitivo!E24</f>
        <v>0.59090909090909094</v>
      </c>
      <c r="H3" s="86">
        <f t="shared" ref="H3:H9" si="2">G3/$G$9</f>
        <v>0.16290853615822287</v>
      </c>
      <c r="I3" s="8">
        <f>Sensitivo!F24</f>
        <v>0</v>
      </c>
      <c r="J3" s="9" t="e">
        <f t="shared" ref="J3:J8" si="3">I3/$I$9</f>
        <v>#DIV/0!</v>
      </c>
      <c r="L3" s="52" t="s">
        <v>166</v>
      </c>
      <c r="M3" s="54">
        <v>0.9</v>
      </c>
    </row>
    <row r="4" spans="1:13" ht="16" x14ac:dyDescent="0.2">
      <c r="A4" s="11">
        <v>3</v>
      </c>
      <c r="B4" s="126" t="s">
        <v>131</v>
      </c>
      <c r="C4" s="124">
        <f>Agudo!C25</f>
        <v>0</v>
      </c>
      <c r="D4" s="9" t="e">
        <f t="shared" si="0"/>
        <v>#DIV/0!</v>
      </c>
      <c r="E4" s="35">
        <f>Agudo!D25</f>
        <v>0.82608695652173914</v>
      </c>
      <c r="F4" s="36">
        <f t="shared" si="1"/>
        <v>0.2277450438599905</v>
      </c>
      <c r="G4" s="37">
        <f>Agudo!E25</f>
        <v>0.82608695652173914</v>
      </c>
      <c r="H4" s="85">
        <f t="shared" si="2"/>
        <v>0.2277450438599905</v>
      </c>
      <c r="I4" s="8">
        <f>Agudo!F25</f>
        <v>0</v>
      </c>
      <c r="J4" s="9" t="e">
        <f t="shared" si="3"/>
        <v>#DIV/0!</v>
      </c>
      <c r="L4" s="87" t="s">
        <v>167</v>
      </c>
      <c r="M4" s="88">
        <v>0.8</v>
      </c>
    </row>
    <row r="5" spans="1:13" ht="16" x14ac:dyDescent="0.2">
      <c r="A5" s="11">
        <v>4</v>
      </c>
      <c r="B5" s="126" t="s">
        <v>132</v>
      </c>
      <c r="C5" s="124">
        <f>Estructurado!C25</f>
        <v>0</v>
      </c>
      <c r="D5" s="9" t="e">
        <f t="shared" si="0"/>
        <v>#DIV/0!</v>
      </c>
      <c r="E5" s="35">
        <f>Estructurado!D25</f>
        <v>0.65217391304347827</v>
      </c>
      <c r="F5" s="36">
        <f t="shared" si="1"/>
        <v>0.1797987188368346</v>
      </c>
      <c r="G5" s="37">
        <f>Estructurado!E25</f>
        <v>0.65217391304347827</v>
      </c>
      <c r="H5" s="85">
        <f t="shared" si="2"/>
        <v>0.1797987188368346</v>
      </c>
      <c r="I5" s="8">
        <f>Estructurado!F25</f>
        <v>0</v>
      </c>
      <c r="J5" s="9" t="e">
        <f t="shared" si="3"/>
        <v>#DIV/0!</v>
      </c>
      <c r="L5" s="52" t="s">
        <v>168</v>
      </c>
      <c r="M5" s="54">
        <v>0.7</v>
      </c>
    </row>
    <row r="6" spans="1:13" ht="16" x14ac:dyDescent="0.2">
      <c r="A6" s="11">
        <v>5</v>
      </c>
      <c r="B6" s="126" t="s">
        <v>133</v>
      </c>
      <c r="C6" s="124">
        <f>Energético!C25</f>
        <v>0</v>
      </c>
      <c r="D6" s="9" t="e">
        <f t="shared" si="0"/>
        <v>#DIV/0!</v>
      </c>
      <c r="E6" s="35">
        <f>Energético!D25</f>
        <v>0.39130434782608697</v>
      </c>
      <c r="F6" s="36">
        <f t="shared" si="1"/>
        <v>0.10787923130210077</v>
      </c>
      <c r="G6" s="37">
        <f>Energético!E25</f>
        <v>0.39130434782608697</v>
      </c>
      <c r="H6" s="36">
        <f t="shared" si="2"/>
        <v>0.10787923130210077</v>
      </c>
      <c r="I6" s="8">
        <f>Energético!F25</f>
        <v>0</v>
      </c>
      <c r="J6" s="9" t="e">
        <f t="shared" si="3"/>
        <v>#DIV/0!</v>
      </c>
      <c r="L6" s="52" t="s">
        <v>169</v>
      </c>
      <c r="M6" s="54">
        <v>0.6</v>
      </c>
    </row>
    <row r="7" spans="1:13" ht="16" x14ac:dyDescent="0.2">
      <c r="A7" s="11">
        <v>6</v>
      </c>
      <c r="B7" s="126" t="s">
        <v>135</v>
      </c>
      <c r="C7" s="124">
        <f>Expansivo!C22</f>
        <v>0</v>
      </c>
      <c r="D7" s="9" t="e">
        <f t="shared" si="0"/>
        <v>#DIV/0!</v>
      </c>
      <c r="E7" s="35">
        <f>Expansivo!D22</f>
        <v>0.6</v>
      </c>
      <c r="F7" s="36">
        <f t="shared" si="1"/>
        <v>0.16541482132988783</v>
      </c>
      <c r="G7" s="37">
        <f>Expansivo!E22</f>
        <v>0.6</v>
      </c>
      <c r="H7" s="86">
        <f t="shared" si="2"/>
        <v>0.16541482132988783</v>
      </c>
      <c r="I7" s="8">
        <f>Expansivo!F22</f>
        <v>0</v>
      </c>
      <c r="J7" s="9" t="e">
        <f t="shared" si="3"/>
        <v>#DIV/0!</v>
      </c>
      <c r="L7" s="52" t="s">
        <v>170</v>
      </c>
      <c r="M7" s="54">
        <v>0.5</v>
      </c>
    </row>
    <row r="8" spans="1:13" ht="17" thickBot="1" x14ac:dyDescent="0.25">
      <c r="A8" s="12">
        <v>7</v>
      </c>
      <c r="B8" s="126" t="s">
        <v>134</v>
      </c>
      <c r="C8" s="125">
        <f>Carismático!C30</f>
        <v>0</v>
      </c>
      <c r="D8" s="28" t="e">
        <f t="shared" si="0"/>
        <v>#DIV/0!</v>
      </c>
      <c r="E8" s="38">
        <f>Carismático!D30</f>
        <v>0.39285714285714285</v>
      </c>
      <c r="F8" s="39">
        <f t="shared" si="1"/>
        <v>0.10830732348980751</v>
      </c>
      <c r="G8" s="40">
        <f>Carismático!E30</f>
        <v>0.39285714285714285</v>
      </c>
      <c r="H8" s="39">
        <f t="shared" si="2"/>
        <v>0.10830732348980751</v>
      </c>
      <c r="I8" s="27">
        <f>Carismático!F30</f>
        <v>0</v>
      </c>
      <c r="J8" s="28" t="e">
        <f t="shared" si="3"/>
        <v>#DIV/0!</v>
      </c>
      <c r="L8" s="52" t="s">
        <v>171</v>
      </c>
      <c r="M8" s="54">
        <v>0.4</v>
      </c>
    </row>
    <row r="9" spans="1:13" ht="17" thickBot="1" x14ac:dyDescent="0.25">
      <c r="A9" s="1"/>
      <c r="B9" s="2"/>
      <c r="C9" s="3">
        <f>SUM(C2:C8)</f>
        <v>0</v>
      </c>
      <c r="D9" s="43">
        <f t="shared" si="1"/>
        <v>0</v>
      </c>
      <c r="E9" s="44">
        <f>SUM(E2:E8)</f>
        <v>3.6272444946357991</v>
      </c>
      <c r="F9" s="45">
        <f>SUM(F2:F8)</f>
        <v>1</v>
      </c>
      <c r="G9" s="44">
        <f>SUM(G2:G8)</f>
        <v>3.6272444946357991</v>
      </c>
      <c r="H9" s="45">
        <f t="shared" si="2"/>
        <v>1</v>
      </c>
      <c r="I9" s="3">
        <f>SUM(I2:I8)</f>
        <v>0</v>
      </c>
      <c r="J9" s="4">
        <f t="shared" ref="J9" si="4">I9/$E$9</f>
        <v>0</v>
      </c>
      <c r="L9" s="52" t="s">
        <v>172</v>
      </c>
      <c r="M9" s="54">
        <v>0.3</v>
      </c>
    </row>
    <row r="10" spans="1:13" x14ac:dyDescent="0.2">
      <c r="E10" s="46" t="s">
        <v>131</v>
      </c>
      <c r="F10" s="47">
        <f>F4/(F4+F8)</f>
        <v>0.67770700636942671</v>
      </c>
      <c r="G10" s="46"/>
      <c r="H10" s="47"/>
      <c r="L10" s="52" t="s">
        <v>173</v>
      </c>
      <c r="M10" s="54">
        <v>0.2</v>
      </c>
    </row>
    <row r="11" spans="1:13" ht="16" thickBot="1" x14ac:dyDescent="0.25">
      <c r="E11" s="46" t="s">
        <v>134</v>
      </c>
      <c r="F11" s="47">
        <f>F8/(F4+F8)</f>
        <v>0.32229299363057323</v>
      </c>
      <c r="G11" s="46"/>
      <c r="H11" s="47"/>
      <c r="L11" s="53" t="s">
        <v>174</v>
      </c>
      <c r="M11" s="55">
        <v>0.1</v>
      </c>
    </row>
    <row r="12" spans="1:13" x14ac:dyDescent="0.2">
      <c r="E12" s="48"/>
      <c r="F12" s="49"/>
      <c r="G12" s="48"/>
      <c r="H12" s="49"/>
    </row>
    <row r="13" spans="1:13" x14ac:dyDescent="0.2">
      <c r="E13" s="46" t="s">
        <v>131</v>
      </c>
      <c r="F13" s="47">
        <f>F4/(F4+F5)</f>
        <v>0.55882352941176472</v>
      </c>
      <c r="G13" s="46" t="s">
        <v>131</v>
      </c>
      <c r="H13" s="119">
        <f>H4/(H4+H5)</f>
        <v>0.55882352941176472</v>
      </c>
    </row>
    <row r="14" spans="1:13" x14ac:dyDescent="0.2">
      <c r="E14" s="46" t="s">
        <v>132</v>
      </c>
      <c r="F14" s="47">
        <f>F5/(F4+F5)</f>
        <v>0.44117647058823523</v>
      </c>
      <c r="G14" s="46" t="s">
        <v>132</v>
      </c>
      <c r="H14" s="119">
        <f>H5/(H4+H5)</f>
        <v>0.44117647058823523</v>
      </c>
    </row>
    <row r="15" spans="1:13" x14ac:dyDescent="0.2">
      <c r="E15" s="48"/>
      <c r="F15" s="49"/>
      <c r="G15" s="48"/>
      <c r="H15" s="49"/>
    </row>
    <row r="16" spans="1:13" ht="16" thickBot="1" x14ac:dyDescent="0.25">
      <c r="E16" s="50" t="s">
        <v>175</v>
      </c>
      <c r="F16" s="51">
        <v>0</v>
      </c>
      <c r="G16" s="50" t="s">
        <v>175</v>
      </c>
      <c r="H16" s="120">
        <f>G28</f>
        <v>0.87999999999999989</v>
      </c>
    </row>
    <row r="17" spans="6:14" ht="16" thickBot="1" x14ac:dyDescent="0.25">
      <c r="F17" s="41"/>
      <c r="G17" s="42"/>
      <c r="L17" s="113" t="s">
        <v>219</v>
      </c>
      <c r="M17" s="113" t="s">
        <v>220</v>
      </c>
      <c r="N17" t="s">
        <v>221</v>
      </c>
    </row>
    <row r="18" spans="6:14" x14ac:dyDescent="0.2">
      <c r="F18" s="115">
        <v>0.7</v>
      </c>
      <c r="G18" s="114">
        <f t="shared" ref="G18:G28" si="5">(1-F18)*2</f>
        <v>0.60000000000000009</v>
      </c>
      <c r="L18" s="127" t="s">
        <v>131</v>
      </c>
      <c r="M18" s="128" t="s">
        <v>132</v>
      </c>
      <c r="N18" s="129" t="s">
        <v>183</v>
      </c>
    </row>
    <row r="19" spans="6:14" x14ac:dyDescent="0.2">
      <c r="F19" s="115">
        <v>0.65</v>
      </c>
      <c r="G19" s="114">
        <f t="shared" si="5"/>
        <v>0.7</v>
      </c>
      <c r="L19" s="108"/>
      <c r="M19" s="42"/>
      <c r="N19" s="109" t="s">
        <v>30</v>
      </c>
    </row>
    <row r="20" spans="6:14" ht="16" thickBot="1" x14ac:dyDescent="0.25">
      <c r="F20" s="115">
        <v>0.64</v>
      </c>
      <c r="G20" s="114">
        <f t="shared" si="5"/>
        <v>0.72</v>
      </c>
      <c r="L20" s="110"/>
      <c r="M20" s="111"/>
      <c r="N20" s="112" t="s">
        <v>135</v>
      </c>
    </row>
    <row r="21" spans="6:14" x14ac:dyDescent="0.2">
      <c r="F21" s="115">
        <v>0.63</v>
      </c>
      <c r="G21" s="114">
        <f t="shared" si="5"/>
        <v>0.74</v>
      </c>
    </row>
    <row r="22" spans="6:14" x14ac:dyDescent="0.2">
      <c r="F22" s="115">
        <v>0.62</v>
      </c>
      <c r="G22" s="114">
        <f t="shared" si="5"/>
        <v>0.76</v>
      </c>
    </row>
    <row r="23" spans="6:14" x14ac:dyDescent="0.2">
      <c r="F23" s="116">
        <v>0.61</v>
      </c>
      <c r="G23" s="114">
        <f t="shared" si="5"/>
        <v>0.78</v>
      </c>
    </row>
    <row r="24" spans="6:14" x14ac:dyDescent="0.2">
      <c r="F24" s="115">
        <v>0.6</v>
      </c>
      <c r="G24" s="114">
        <f t="shared" si="5"/>
        <v>0.8</v>
      </c>
    </row>
    <row r="25" spans="6:14" x14ac:dyDescent="0.2">
      <c r="F25" s="115">
        <v>0.59</v>
      </c>
      <c r="G25" s="114">
        <f t="shared" si="5"/>
        <v>0.82000000000000006</v>
      </c>
    </row>
    <row r="26" spans="6:14" x14ac:dyDescent="0.2">
      <c r="F26" s="115">
        <v>0.57999999999999996</v>
      </c>
      <c r="G26" s="114">
        <f t="shared" si="5"/>
        <v>0.84000000000000008</v>
      </c>
    </row>
    <row r="27" spans="6:14" x14ac:dyDescent="0.2">
      <c r="F27" s="115">
        <v>0.56999999999999995</v>
      </c>
      <c r="G27" s="114">
        <f t="shared" si="5"/>
        <v>0.8600000000000001</v>
      </c>
    </row>
    <row r="28" spans="6:14" x14ac:dyDescent="0.2">
      <c r="F28" s="117">
        <v>0.56000000000000005</v>
      </c>
      <c r="G28" s="118">
        <f t="shared" si="5"/>
        <v>0.87999999999999989</v>
      </c>
    </row>
    <row r="29" spans="6:14" x14ac:dyDescent="0.2">
      <c r="F29" s="115">
        <v>0.55000000000000004</v>
      </c>
      <c r="G29" s="114">
        <f t="shared" ref="G29:G34" si="6">(1-F29)*2</f>
        <v>0.89999999999999991</v>
      </c>
    </row>
    <row r="30" spans="6:14" x14ac:dyDescent="0.2">
      <c r="F30" s="115">
        <v>0.54</v>
      </c>
      <c r="G30" s="114">
        <f t="shared" si="6"/>
        <v>0.91999999999999993</v>
      </c>
    </row>
    <row r="31" spans="6:14" x14ac:dyDescent="0.2">
      <c r="F31" s="115">
        <v>0.53</v>
      </c>
      <c r="G31" s="114">
        <f t="shared" si="6"/>
        <v>0.94</v>
      </c>
    </row>
    <row r="32" spans="6:14" x14ac:dyDescent="0.2">
      <c r="F32" s="115">
        <v>0.52</v>
      </c>
      <c r="G32" s="114">
        <f t="shared" si="6"/>
        <v>0.96</v>
      </c>
    </row>
    <row r="33" spans="6:7" x14ac:dyDescent="0.2">
      <c r="F33" s="115">
        <v>0.51000000000000101</v>
      </c>
      <c r="G33" s="114">
        <f t="shared" si="6"/>
        <v>0.97999999999999798</v>
      </c>
    </row>
    <row r="34" spans="6:7" x14ac:dyDescent="0.2">
      <c r="F34" s="115">
        <v>0.500000000000002</v>
      </c>
      <c r="G34" s="114">
        <f t="shared" si="6"/>
        <v>0.999999999999996</v>
      </c>
    </row>
  </sheetData>
  <mergeCells count="1">
    <mergeCell ref="L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18"/>
  <sheetViews>
    <sheetView tabSelected="1" topLeftCell="A3" zoomScale="200" zoomScaleNormal="200" zoomScalePageLayoutView="200" workbookViewId="0">
      <selection activeCell="C16" sqref="C16:D19"/>
    </sheetView>
  </sheetViews>
  <sheetFormatPr baseColWidth="10" defaultRowHeight="15" x14ac:dyDescent="0.2"/>
  <cols>
    <col min="1" max="1" width="4" customWidth="1"/>
    <col min="2" max="2" width="23.6640625" bestFit="1" customWidth="1"/>
    <col min="3" max="3" width="16.6640625" bestFit="1" customWidth="1"/>
    <col min="7" max="7" width="18.33203125" bestFit="1" customWidth="1"/>
    <col min="8" max="8" width="16.6640625" bestFit="1" customWidth="1"/>
    <col min="9" max="9" width="9" bestFit="1" customWidth="1"/>
    <col min="10" max="10" width="7" bestFit="1" customWidth="1"/>
  </cols>
  <sheetData>
    <row r="1" spans="2:5" ht="16" thickBot="1" x14ac:dyDescent="0.25"/>
    <row r="2" spans="2:5" ht="16" x14ac:dyDescent="0.2">
      <c r="B2" s="97" t="s">
        <v>177</v>
      </c>
      <c r="C2" s="92" t="s">
        <v>178</v>
      </c>
      <c r="E2" s="1"/>
    </row>
    <row r="3" spans="2:5" ht="17" thickBot="1" x14ac:dyDescent="0.25">
      <c r="B3" s="98" t="s">
        <v>179</v>
      </c>
      <c r="C3" s="93" t="s">
        <v>209</v>
      </c>
      <c r="E3" s="1"/>
    </row>
    <row r="4" spans="2:5" ht="16" x14ac:dyDescent="0.2">
      <c r="B4" s="98" t="s">
        <v>180</v>
      </c>
      <c r="C4" s="94" t="s">
        <v>210</v>
      </c>
      <c r="D4" s="89" t="s">
        <v>131</v>
      </c>
      <c r="E4" s="67">
        <f>Resumen!F13</f>
        <v>0.55882352941176472</v>
      </c>
    </row>
    <row r="5" spans="2:5" ht="17" thickBot="1" x14ac:dyDescent="0.25">
      <c r="B5" s="98" t="s">
        <v>181</v>
      </c>
      <c r="C5" s="94" t="s">
        <v>211</v>
      </c>
      <c r="D5" s="90" t="s">
        <v>132</v>
      </c>
      <c r="E5" s="68">
        <f>Resumen!F14</f>
        <v>0.44117647058823523</v>
      </c>
    </row>
    <row r="6" spans="2:5" ht="16" x14ac:dyDescent="0.2">
      <c r="B6" s="98" t="s">
        <v>182</v>
      </c>
      <c r="C6" s="95" t="s">
        <v>183</v>
      </c>
      <c r="E6" s="1"/>
    </row>
    <row r="7" spans="2:5" ht="17" thickBot="1" x14ac:dyDescent="0.25">
      <c r="B7" s="99" t="s">
        <v>184</v>
      </c>
      <c r="C7" s="96">
        <f>Resumen!H16</f>
        <v>0.87999999999999989</v>
      </c>
      <c r="E7" s="1"/>
    </row>
    <row r="8" spans="2:5" ht="16" thickBot="1" x14ac:dyDescent="0.25"/>
    <row r="9" spans="2:5" ht="16" x14ac:dyDescent="0.2">
      <c r="B9" s="103" t="s">
        <v>212</v>
      </c>
      <c r="C9" s="100" t="s">
        <v>222</v>
      </c>
    </row>
    <row r="10" spans="2:5" ht="16" x14ac:dyDescent="0.2">
      <c r="B10" s="104" t="s">
        <v>213</v>
      </c>
      <c r="C10" s="101" t="s">
        <v>223</v>
      </c>
    </row>
    <row r="11" spans="2:5" ht="16" x14ac:dyDescent="0.2">
      <c r="B11" s="104" t="s">
        <v>214</v>
      </c>
      <c r="C11" s="101" t="s">
        <v>225</v>
      </c>
    </row>
    <row r="12" spans="2:5" ht="16" x14ac:dyDescent="0.2">
      <c r="B12" s="104" t="s">
        <v>215</v>
      </c>
      <c r="C12" s="101" t="s">
        <v>224</v>
      </c>
    </row>
    <row r="13" spans="2:5" ht="16" x14ac:dyDescent="0.2">
      <c r="B13" s="104" t="s">
        <v>216</v>
      </c>
      <c r="C13" s="101" t="s">
        <v>226</v>
      </c>
    </row>
    <row r="14" spans="2:5" ht="17" thickBot="1" x14ac:dyDescent="0.25">
      <c r="B14" s="105" t="s">
        <v>217</v>
      </c>
      <c r="C14" s="102" t="s">
        <v>227</v>
      </c>
    </row>
    <row r="16" spans="2:5" ht="16" x14ac:dyDescent="0.2">
      <c r="B16" s="91" t="s">
        <v>228</v>
      </c>
      <c r="C16" t="s">
        <v>229</v>
      </c>
    </row>
    <row r="17" spans="3:3" x14ac:dyDescent="0.2">
      <c r="C17" t="s">
        <v>230</v>
      </c>
    </row>
    <row r="18" spans="3:3" x14ac:dyDescent="0.2">
      <c r="C18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Solitario</vt:lpstr>
      <vt:lpstr>Sensitivo</vt:lpstr>
      <vt:lpstr>Agudo</vt:lpstr>
      <vt:lpstr>Estructurado</vt:lpstr>
      <vt:lpstr>Energético</vt:lpstr>
      <vt:lpstr>Expansivo</vt:lpstr>
      <vt:lpstr>Carismático</vt:lpstr>
      <vt:lpstr>Resumen</vt:lpstr>
      <vt:lpstr>Cartilla Fundamental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2026-04-11T21:35:20Z</dcterms:modified>
</cp:coreProperties>
</file>